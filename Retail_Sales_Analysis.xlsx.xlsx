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hidePivotFieldList="1"/>
  <mc:AlternateContent xmlns:mc="http://schemas.openxmlformats.org/markup-compatibility/2006">
    <mc:Choice Requires="x15">
      <x15ac:absPath xmlns:x15ac="http://schemas.microsoft.com/office/spreadsheetml/2010/11/ac" url="/Users/valeriacasusol/Desktop/Business Intelligence Portfolio/Project 1 - Retail Sales Analysis/"/>
    </mc:Choice>
  </mc:AlternateContent>
  <xr:revisionPtr revIDLastSave="0" documentId="8_{4C83F820-6EF3-BD48-BF8F-46777ADDE517}" xr6:coauthVersionLast="47" xr6:coauthVersionMax="47" xr10:uidLastSave="{00000000-0000-0000-0000-000000000000}"/>
  <bookViews>
    <workbookView xWindow="0" yWindow="1480" windowWidth="26080" windowHeight="15420" activeTab="1" xr2:uid="{00000000-000D-0000-FFFF-FFFF00000000}"/>
  </bookViews>
  <sheets>
    <sheet name="01_Raw_Data" sheetId="1" r:id="rId1"/>
    <sheet name="02_Dashboard" sheetId="5" r:id="rId2"/>
    <sheet name="03_KPI_Summary" sheetId="3" r:id="rId3"/>
    <sheet name="04_Category_Analysis" sheetId="8" r:id="rId4"/>
    <sheet name="05_Product_Analysis" sheetId="9" r:id="rId5"/>
    <sheet name="06_Region_Analysis" sheetId="10" r:id="rId6"/>
  </sheets>
  <calcPr calcId="191029"/>
  <pivotCaches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5" l="1"/>
  <c r="H4" i="5"/>
  <c r="B4" i="5"/>
  <c r="E4" i="5"/>
</calcChain>
</file>

<file path=xl/sharedStrings.xml><?xml version="1.0" encoding="utf-8"?>
<sst xmlns="http://schemas.openxmlformats.org/spreadsheetml/2006/main" count="1249" uniqueCount="241">
  <si>
    <t>Retail_Sales_Dataset</t>
  </si>
  <si>
    <t>OrderID</t>
  </si>
  <si>
    <t>OrderDate</t>
  </si>
  <si>
    <t>Region</t>
  </si>
  <si>
    <t>Category</t>
  </si>
  <si>
    <t>Product</t>
  </si>
  <si>
    <t>Quantity</t>
  </si>
  <si>
    <t>UnitPrice</t>
  </si>
  <si>
    <t>Sales</t>
  </si>
  <si>
    <t>Profit</t>
  </si>
  <si>
    <t>2025-03-13</t>
  </si>
  <si>
    <t>East</t>
  </si>
  <si>
    <t>Office Supplies</t>
  </si>
  <si>
    <t>Notebook</t>
  </si>
  <si>
    <t>2025-04-22</t>
  </si>
  <si>
    <t>West</t>
  </si>
  <si>
    <t>2025-10-29</t>
  </si>
  <si>
    <t>South</t>
  </si>
  <si>
    <t>2025-04-21</t>
  </si>
  <si>
    <t>Technology</t>
  </si>
  <si>
    <t>Monitor</t>
  </si>
  <si>
    <t>2025-06-26</t>
  </si>
  <si>
    <t>Laptop</t>
  </si>
  <si>
    <t>2025-05-31</t>
  </si>
  <si>
    <t>Mouse</t>
  </si>
  <si>
    <t>2025-05-29</t>
  </si>
  <si>
    <t>Pen</t>
  </si>
  <si>
    <t>2025-07-06</t>
  </si>
  <si>
    <t>2025-12-16</t>
  </si>
  <si>
    <t>Furniture</t>
  </si>
  <si>
    <t>Bookshelf</t>
  </si>
  <si>
    <t>2025-05-19</t>
  </si>
  <si>
    <t>2025-06-11</t>
  </si>
  <si>
    <t>Central</t>
  </si>
  <si>
    <t>Binder</t>
  </si>
  <si>
    <t>2025-09-13</t>
  </si>
  <si>
    <t>Desk</t>
  </si>
  <si>
    <t>2025-10-15</t>
  </si>
  <si>
    <t>Printer Paper</t>
  </si>
  <si>
    <t>2025-03-12</t>
  </si>
  <si>
    <t>2025-12-15</t>
  </si>
  <si>
    <t>2025-08-28</t>
  </si>
  <si>
    <t>2025-06-24</t>
  </si>
  <si>
    <t>2025-05-15</t>
  </si>
  <si>
    <t>Cabinet</t>
  </si>
  <si>
    <t>2025-03-24</t>
  </si>
  <si>
    <t>2025-07-05</t>
  </si>
  <si>
    <t>2025-09-06</t>
  </si>
  <si>
    <t>2025-03-26</t>
  </si>
  <si>
    <t>2025-07-24</t>
  </si>
  <si>
    <t>2025-06-23</t>
  </si>
  <si>
    <t>2025-11-20</t>
  </si>
  <si>
    <t>2025-05-02</t>
  </si>
  <si>
    <t>2025-10-20</t>
  </si>
  <si>
    <t>2025-12-04</t>
  </si>
  <si>
    <t>2025-01-28</t>
  </si>
  <si>
    <t>2025-04-08</t>
  </si>
  <si>
    <t>2025-02-08</t>
  </si>
  <si>
    <t>2025-01-31</t>
  </si>
  <si>
    <t>2025-08-21</t>
  </si>
  <si>
    <t>2025-01-30</t>
  </si>
  <si>
    <t>2025-09-15</t>
  </si>
  <si>
    <t>2025-12-12</t>
  </si>
  <si>
    <t>2025-08-03</t>
  </si>
  <si>
    <t>2025-03-09</t>
  </si>
  <si>
    <t>Chair</t>
  </si>
  <si>
    <t>2025-10-16</t>
  </si>
  <si>
    <t>2025-02-05</t>
  </si>
  <si>
    <t>2025-12-27</t>
  </si>
  <si>
    <t>2025-03-10</t>
  </si>
  <si>
    <t>2025-04-18</t>
  </si>
  <si>
    <t>2025-01-27</t>
  </si>
  <si>
    <t>Keyboard</t>
  </si>
  <si>
    <t>2025-03-08</t>
  </si>
  <si>
    <t>2025-12-20</t>
  </si>
  <si>
    <t>2025-01-22</t>
  </si>
  <si>
    <t>2025-12-08</t>
  </si>
  <si>
    <t>2025-04-01</t>
  </si>
  <si>
    <t>2025-05-08</t>
  </si>
  <si>
    <t>2025-04-24</t>
  </si>
  <si>
    <t>2025-05-23</t>
  </si>
  <si>
    <t>2025-05-14</t>
  </si>
  <si>
    <t>2025-12-29</t>
  </si>
  <si>
    <t>2025-12-07</t>
  </si>
  <si>
    <t>2025-01-01</t>
  </si>
  <si>
    <t>2025-08-15</t>
  </si>
  <si>
    <t>2025-12-06</t>
  </si>
  <si>
    <t>2025-03-17</t>
  </si>
  <si>
    <t>2025-11-19</t>
  </si>
  <si>
    <t>2025-12-02</t>
  </si>
  <si>
    <t>2025-12-23</t>
  </si>
  <si>
    <t>2025-08-26</t>
  </si>
  <si>
    <t>2025-09-01</t>
  </si>
  <si>
    <t>2025-05-21</t>
  </si>
  <si>
    <t>2025-10-04</t>
  </si>
  <si>
    <t>2025-12-28</t>
  </si>
  <si>
    <t>2025-08-01</t>
  </si>
  <si>
    <t>2025-10-22</t>
  </si>
  <si>
    <t>2025-07-19</t>
  </si>
  <si>
    <t>2025-11-15</t>
  </si>
  <si>
    <t>2025-08-25</t>
  </si>
  <si>
    <t>2025-06-17</t>
  </si>
  <si>
    <t>2025-08-29</t>
  </si>
  <si>
    <t>2025-11-30</t>
  </si>
  <si>
    <t>2025-05-03</t>
  </si>
  <si>
    <t>2025-07-08</t>
  </si>
  <si>
    <t>2025-01-14</t>
  </si>
  <si>
    <t>2025-08-08</t>
  </si>
  <si>
    <t>2025-02-24</t>
  </si>
  <si>
    <t>2025-09-25</t>
  </si>
  <si>
    <t>2025-10-31</t>
  </si>
  <si>
    <t>2025-05-05</t>
  </si>
  <si>
    <t>2025-06-16</t>
  </si>
  <si>
    <t>2025-11-02</t>
  </si>
  <si>
    <t>2025-07-28</t>
  </si>
  <si>
    <t>2025-01-09</t>
  </si>
  <si>
    <t>2025-10-25</t>
  </si>
  <si>
    <t>2025-05-22</t>
  </si>
  <si>
    <t>2025-06-04</t>
  </si>
  <si>
    <t>2025-10-11</t>
  </si>
  <si>
    <t>2025-10-21</t>
  </si>
  <si>
    <t>2025-10-23</t>
  </si>
  <si>
    <t>2025-03-02</t>
  </si>
  <si>
    <t>2025-06-02</t>
  </si>
  <si>
    <t>2025-05-16</t>
  </si>
  <si>
    <t>2025-07-29</t>
  </si>
  <si>
    <t>2025-11-17</t>
  </si>
  <si>
    <t>2025-03-14</t>
  </si>
  <si>
    <t>2025-11-03</t>
  </si>
  <si>
    <t>2025-06-18</t>
  </si>
  <si>
    <t>2025-10-09</t>
  </si>
  <si>
    <t>2025-07-26</t>
  </si>
  <si>
    <t>2025-11-08</t>
  </si>
  <si>
    <t>2025-02-17</t>
  </si>
  <si>
    <t>2025-05-30</t>
  </si>
  <si>
    <t>2025-03-16</t>
  </si>
  <si>
    <t>2025-10-28</t>
  </si>
  <si>
    <t>2025-10-06</t>
  </si>
  <si>
    <t>2025-04-30</t>
  </si>
  <si>
    <t>2025-08-14</t>
  </si>
  <si>
    <t>2025-07-23</t>
  </si>
  <si>
    <t>2025-01-19</t>
  </si>
  <si>
    <t>2025-02-20</t>
  </si>
  <si>
    <t>2025-01-29</t>
  </si>
  <si>
    <t>2025-07-30</t>
  </si>
  <si>
    <t>2025-05-04</t>
  </si>
  <si>
    <t>2025-08-24</t>
  </si>
  <si>
    <t>2025-03-22</t>
  </si>
  <si>
    <t>2025-08-22</t>
  </si>
  <si>
    <t>2025-05-27</t>
  </si>
  <si>
    <t>2025-12-14</t>
  </si>
  <si>
    <t>2025-01-18</t>
  </si>
  <si>
    <t>2025-05-12</t>
  </si>
  <si>
    <t>2025-01-08</t>
  </si>
  <si>
    <t>2025-12-11</t>
  </si>
  <si>
    <t>2025-08-30</t>
  </si>
  <si>
    <t>2025-01-20</t>
  </si>
  <si>
    <t>2025-03-11</t>
  </si>
  <si>
    <t>2025-08-04</t>
  </si>
  <si>
    <t>2025-09-20</t>
  </si>
  <si>
    <t>2025-01-16</t>
  </si>
  <si>
    <t>2025-08-16</t>
  </si>
  <si>
    <t>2025-11-16</t>
  </si>
  <si>
    <t>2025-12-26</t>
  </si>
  <si>
    <t>2025-07-31</t>
  </si>
  <si>
    <t>2025-06-10</t>
  </si>
  <si>
    <t>2025-02-13</t>
  </si>
  <si>
    <t>2025-08-05</t>
  </si>
  <si>
    <t>2025-04-19</t>
  </si>
  <si>
    <t>2025-10-12</t>
  </si>
  <si>
    <t>2025-06-08</t>
  </si>
  <si>
    <t>2025-07-25</t>
  </si>
  <si>
    <t>2025-10-18</t>
  </si>
  <si>
    <t>2025-05-20</t>
  </si>
  <si>
    <t>2025-05-11</t>
  </si>
  <si>
    <t>2025-03-31</t>
  </si>
  <si>
    <t>2025-04-10</t>
  </si>
  <si>
    <t>2025-04-12</t>
  </si>
  <si>
    <t>2025-11-18</t>
  </si>
  <si>
    <t>2025-02-04</t>
  </si>
  <si>
    <t>2025-02-07</t>
  </si>
  <si>
    <t>2025-02-01</t>
  </si>
  <si>
    <t>2025-07-18</t>
  </si>
  <si>
    <t>2025-10-13</t>
  </si>
  <si>
    <t>2025-12-17</t>
  </si>
  <si>
    <t>2025-04-03</t>
  </si>
  <si>
    <t>2025-03-21</t>
  </si>
  <si>
    <t>2025-11-13</t>
  </si>
  <si>
    <t>2025-12-21</t>
  </si>
  <si>
    <t>2025-07-15</t>
  </si>
  <si>
    <t>2025-09-04</t>
  </si>
  <si>
    <t>2025-07-11</t>
  </si>
  <si>
    <t>2025-01-10</t>
  </si>
  <si>
    <t>2025-06-30</t>
  </si>
  <si>
    <t>2025-07-04</t>
  </si>
  <si>
    <t>2025-12-03</t>
  </si>
  <si>
    <t>2025-02-02</t>
  </si>
  <si>
    <t>2025-11-28</t>
  </si>
  <si>
    <t>2025-09-12</t>
  </si>
  <si>
    <t>2025-11-05</t>
  </si>
  <si>
    <t>2025-12-05</t>
  </si>
  <si>
    <t>2025-06-29</t>
  </si>
  <si>
    <t>2025-03-15</t>
  </si>
  <si>
    <t>2025-07-07</t>
  </si>
  <si>
    <t>2025-07-10</t>
  </si>
  <si>
    <t>2025-04-13</t>
  </si>
  <si>
    <t>2025-09-03</t>
  </si>
  <si>
    <t>2025-08-19</t>
  </si>
  <si>
    <t>2025-05-09</t>
  </si>
  <si>
    <t>2025-11-07</t>
  </si>
  <si>
    <t>2025-07-09</t>
  </si>
  <si>
    <t>2025-05-07</t>
  </si>
  <si>
    <t>2025-07-21</t>
  </si>
  <si>
    <t>2025-09-11</t>
  </si>
  <si>
    <t>2025-11-10</t>
  </si>
  <si>
    <t>2025-09-18</t>
  </si>
  <si>
    <t>2025-11-14</t>
  </si>
  <si>
    <t>2025-09-30</t>
  </si>
  <si>
    <t>2025-09-29</t>
  </si>
  <si>
    <t>2025-01-05</t>
  </si>
  <si>
    <t>2025-11-25</t>
  </si>
  <si>
    <t>2025-06-19</t>
  </si>
  <si>
    <t>2025-06-22</t>
  </si>
  <si>
    <t>2025-09-21</t>
  </si>
  <si>
    <t>2025-09-02</t>
  </si>
  <si>
    <t>2025-05-17</t>
  </si>
  <si>
    <t>2025-04-23</t>
  </si>
  <si>
    <t>2025-09-28</t>
  </si>
  <si>
    <t>Row Labels</t>
  </si>
  <si>
    <t>Grand Total</t>
  </si>
  <si>
    <t>Sum of Sales</t>
  </si>
  <si>
    <t>Sum of Profit</t>
  </si>
  <si>
    <t>Retail Sales Performance Dashboard</t>
  </si>
  <si>
    <t>Total Sales</t>
  </si>
  <si>
    <t>Total Profit</t>
  </si>
  <si>
    <t>Most Profitable Category</t>
  </si>
  <si>
    <t>Most Profitable Product</t>
  </si>
  <si>
    <t>Executive Insights</t>
  </si>
  <si>
    <t>1. Office Supplies is the most profitable category and should remain the company's primary investment focus.</t>
  </si>
  <si>
    <t>2. The South region generates the highest profit, suggesting successful sales performance that could be replicated in other regions.</t>
  </si>
  <si>
    <t>3. Pen is the most profitable product, while Binder underperforms and may require improved marketing or pricing strategies.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</si>
</sst>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22"/>
      <color rgb="FF000000"/>
      <name val="Aptos"/>
    </font>
    <font>
      <b/>
      <sz val="12"/>
      <color rgb="FF000000"/>
      <name val="Aptos"/>
    </font>
    <font>
      <sz val="24"/>
      <color indexed="8"/>
      <name val="Aptos"/>
    </font>
    <font>
      <sz val="12"/>
      <color indexed="8"/>
      <name val="Aptos"/>
    </font>
    <font>
      <b/>
      <sz val="14"/>
      <color indexed="8"/>
      <name val="Aptos"/>
    </font>
    <font>
      <sz val="12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5F8FE"/>
        <bgColor indexed="64"/>
      </patternFill>
    </fill>
  </fills>
  <borders count="2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10" xfId="0" applyNumberFormat="1" applyBorder="1">
      <alignment vertical="top" wrapText="1"/>
    </xf>
    <xf numFmtId="0" fontId="0" fillId="0" borderId="9" xfId="0" applyBorder="1" applyAlignment="1">
      <alignment horizontal="left" vertical="top" wrapText="1"/>
    </xf>
    <xf numFmtId="0" fontId="0" fillId="0" borderId="11" xfId="0" applyNumberFormat="1" applyBorder="1">
      <alignment vertical="top" wrapText="1"/>
    </xf>
    <xf numFmtId="0" fontId="0" fillId="0" borderId="13" xfId="0" applyBorder="1" applyAlignment="1">
      <alignment horizontal="left" vertical="top" wrapText="1"/>
    </xf>
    <xf numFmtId="0" fontId="0" fillId="0" borderId="12" xfId="0" applyNumberFormat="1" applyBorder="1">
      <alignment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2" borderId="14" xfId="0" applyFill="1" applyBorder="1">
      <alignment vertical="top" wrapText="1"/>
    </xf>
    <xf numFmtId="0" fontId="0" fillId="2" borderId="15" xfId="0" applyFill="1" applyBorder="1">
      <alignment vertical="top" wrapText="1"/>
    </xf>
    <xf numFmtId="0" fontId="0" fillId="2" borderId="17" xfId="0" applyFill="1" applyBorder="1">
      <alignment vertical="top" wrapText="1"/>
    </xf>
    <xf numFmtId="0" fontId="0" fillId="2" borderId="16" xfId="0" applyFill="1" applyBorder="1">
      <alignment vertical="top" wrapText="1"/>
    </xf>
    <xf numFmtId="0" fontId="0" fillId="2" borderId="18" xfId="0" applyFill="1" applyBorder="1">
      <alignment vertical="top" wrapText="1"/>
    </xf>
    <xf numFmtId="0" fontId="0" fillId="2" borderId="19" xfId="0" applyFill="1" applyBorder="1">
      <alignment vertical="top" wrapText="1"/>
    </xf>
    <xf numFmtId="0" fontId="5" fillId="2" borderId="16" xfId="0" applyFont="1" applyFill="1" applyBorder="1" applyAlignment="1">
      <alignment horizontal="center" vertical="top" wrapText="1"/>
    </xf>
    <xf numFmtId="0" fontId="5" fillId="2" borderId="17" xfId="0" applyFont="1" applyFill="1" applyBorder="1" applyAlignment="1">
      <alignment horizontal="center" vertical="top" wrapText="1"/>
    </xf>
    <xf numFmtId="0" fontId="5" fillId="2" borderId="18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44" fontId="0" fillId="0" borderId="13" xfId="0" applyNumberFormat="1" applyBorder="1">
      <alignment vertical="top" wrapText="1"/>
    </xf>
    <xf numFmtId="44" fontId="0" fillId="0" borderId="21" xfId="0" applyNumberFormat="1" applyBorder="1">
      <alignment vertical="top" wrapText="1"/>
    </xf>
    <xf numFmtId="44" fontId="5" fillId="2" borderId="16" xfId="0" applyNumberFormat="1" applyFont="1" applyFill="1" applyBorder="1" applyAlignment="1">
      <alignment horizontal="left" vertical="top" wrapText="1"/>
    </xf>
    <xf numFmtId="44" fontId="5" fillId="2" borderId="17" xfId="0" applyNumberFormat="1" applyFont="1" applyFill="1" applyBorder="1" applyAlignment="1">
      <alignment horizontal="left" vertical="top" wrapText="1"/>
    </xf>
    <xf numFmtId="44" fontId="5" fillId="2" borderId="18" xfId="0" applyNumberFormat="1" applyFont="1" applyFill="1" applyBorder="1" applyAlignment="1">
      <alignment horizontal="left" vertical="top" wrapText="1"/>
    </xf>
    <xf numFmtId="44" fontId="5" fillId="2" borderId="19" xfId="0" applyNumberFormat="1" applyFont="1" applyFill="1" applyBorder="1" applyAlignment="1">
      <alignment horizontal="left" vertical="top" wrapText="1"/>
    </xf>
    <xf numFmtId="0" fontId="0" fillId="2" borderId="22" xfId="0" applyFill="1" applyBorder="1">
      <alignment vertical="top" wrapText="1"/>
    </xf>
    <xf numFmtId="0" fontId="0" fillId="2" borderId="0" xfId="0" applyFill="1" applyBorder="1">
      <alignment vertical="top" wrapText="1"/>
    </xf>
    <xf numFmtId="0" fontId="0" fillId="2" borderId="23" xfId="0" applyFill="1" applyBorder="1">
      <alignment vertical="top" wrapText="1"/>
    </xf>
    <xf numFmtId="0" fontId="7" fillId="2" borderId="16" xfId="0" applyFont="1" applyFill="1" applyBorder="1">
      <alignment vertical="top" wrapText="1"/>
    </xf>
    <xf numFmtId="0" fontId="7" fillId="2" borderId="0" xfId="0" applyFont="1" applyFill="1" applyBorder="1">
      <alignment vertical="top" wrapText="1"/>
    </xf>
    <xf numFmtId="0" fontId="8" fillId="2" borderId="16" xfId="0" applyFont="1" applyFill="1" applyBorder="1" applyAlignment="1">
      <alignment vertical="top" wrapText="1"/>
    </xf>
    <xf numFmtId="0" fontId="8" fillId="2" borderId="0" xfId="0" applyFont="1" applyFill="1" applyBorder="1" applyAlignment="1">
      <alignment vertical="top" wrapText="1"/>
    </xf>
    <xf numFmtId="0" fontId="8" fillId="2" borderId="17" xfId="0" applyFont="1" applyFill="1" applyBorder="1" applyAlignment="1">
      <alignment vertical="top" wrapText="1"/>
    </xf>
    <xf numFmtId="0" fontId="6" fillId="2" borderId="16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0" fillId="2" borderId="8" xfId="0" applyFill="1" applyBorder="1">
      <alignment vertical="top" wrapText="1"/>
    </xf>
    <xf numFmtId="0" fontId="0" fillId="2" borderId="20" xfId="0" applyFill="1" applyBorder="1">
      <alignment vertical="top" wrapText="1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2" borderId="10" xfId="0" applyFill="1" applyBorder="1">
      <alignment vertical="top" wrapText="1"/>
    </xf>
  </cellXfs>
  <cellStyles count="1">
    <cellStyle name="Normal" xfId="0" builtinId="0"/>
  </cellStyles>
  <dxfs count="11"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34" formatCode="_(&quot;$&quot;* #,##0.00_);_(&quot;$&quot;* \(#,##0.00\);_(&quot;$&quot;* &quot;-&quot;??_);_(@_)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5F8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[Retail_Sales_Dashboard.xlsx]04_Category_Analysis!PivotTable3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'04_Category_Analysis'!$B$2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'04_Category_Analysis'!$A$3:$A$6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'04_Category_Analysis'!$B$3:$B$6</c:f>
              <c:numCache>
                <c:formatCode>General</c:formatCode>
                <c:ptCount val="3"/>
                <c:pt idx="0">
                  <c:v>26269.529999999992</c:v>
                </c:pt>
                <c:pt idx="1">
                  <c:v>22144.26999999999</c:v>
                </c:pt>
                <c:pt idx="2">
                  <c:v>14129.600000000004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1-4F4E-9977-741D2BBE6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969216"/>
        <c:axId val="1302955328"/>
      </c:barChart>
      <c:catAx>
        <c:axId val="130296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955328"/>
        <c:crosses val="autoZero"/>
        <c:auto val="1"/>
        <c:lblAlgn val="ctr"/>
        <c:lblOffset val="100"/>
        <c:noMultiLvlLbl val="0"/>
      </c:catAx>
      <c:valAx>
        <c:axId val="13029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96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[Retail_Sales_Dashboard.xlsx]06_Region_Analysis!PivotTable5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'06_Region_Analysis'!$B$2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'06_Region_Analysis'!$A$3:$A$7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'06_Region_Analysis'!$B$3:$B$7</c:f>
              <c:numCache>
                <c:formatCode>General</c:formatCode>
                <c:ptCount val="4"/>
                <c:pt idx="0">
                  <c:v>15164.480000000001</c:v>
                </c:pt>
                <c:pt idx="1">
                  <c:v>18290.629999999994</c:v>
                </c:pt>
                <c:pt idx="2">
                  <c:v>19909.71</c:v>
                </c:pt>
                <c:pt idx="3">
                  <c:v>9178.58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1-3347-936B-E98137DAC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898560"/>
        <c:axId val="1194687360"/>
      </c:barChart>
      <c:catAx>
        <c:axId val="136789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87360"/>
        <c:crosses val="autoZero"/>
        <c:auto val="1"/>
        <c:lblAlgn val="ctr"/>
        <c:lblOffset val="100"/>
        <c:noMultiLvlLbl val="0"/>
      </c:catAx>
      <c:valAx>
        <c:axId val="11946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8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596900</xdr:colOff>
      <xdr:row>6</xdr:row>
      <xdr:rowOff>88900</xdr:rowOff>
    </xdr:from>
    <xdr:to>
      <xdr:col>5</xdr:col>
      <xdr:colOff>711200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A68AA-AD6E-B840-9A71-7D272A941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6</xdr:row>
      <xdr:rowOff>88900</xdr:rowOff>
    </xdr:from>
    <xdr:to>
      <xdr:col>11</xdr:col>
      <xdr:colOff>647700</xdr:colOff>
      <xdr:row>25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A7A06-9DA2-B442-A591-2E83A99D51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leria Casusol Quintanilla" refreshedDate="46209.690853356478" createdVersion="8" refreshedVersion="8" minRefreshableVersion="3" recordCount="300" xr:uid="{A499BE13-1AAA-074A-8921-CDE30FE124CC}">
  <cacheSource type="worksheet">
    <worksheetSource ref="A2:I302" sheet="01_Raw_Data"/>
  </cacheSource>
  <cacheFields count="9">
    <cacheField name="OrderID" numFmtId="0">
      <sharedItems containsSemiMixedTypes="0" containsString="0" containsNumber="1" containsInteger="1" minValue="1001" maxValue="1300"/>
    </cacheField>
    <cacheField name="OrderDate" numFmtId="49">
      <sharedItems/>
    </cacheField>
    <cacheField name="Region" numFmtId="49">
      <sharedItems count="4">
        <s v="East"/>
        <s v="West"/>
        <s v="South"/>
        <s v="Central"/>
      </sharedItems>
    </cacheField>
    <cacheField name="Category" numFmtId="49">
      <sharedItems count="3">
        <s v="Office Supplies"/>
        <s v="Technology"/>
        <s v="Furniture"/>
      </sharedItems>
    </cacheField>
    <cacheField name="Product" numFmtId="49">
      <sharedItems count="12">
        <s v="Notebook"/>
        <s v="Monitor"/>
        <s v="Laptop"/>
        <s v="Mouse"/>
        <s v="Pen"/>
        <s v="Bookshelf"/>
        <s v="Binder"/>
        <s v="Desk"/>
        <s v="Printer Paper"/>
        <s v="Cabinet"/>
        <s v="Chair"/>
        <s v="Keyboard"/>
      </sharedItems>
    </cacheField>
    <cacheField name="Quantity" numFmtId="0">
      <sharedItems containsSemiMixedTypes="0" containsString="0" containsNumber="1" containsInteger="1" minValue="1" maxValue="8"/>
    </cacheField>
    <cacheField name="UnitPrice" numFmtId="0">
      <sharedItems containsSemiMixedTypes="0" containsString="0" containsNumber="1" containsInteger="1" minValue="12" maxValue="900"/>
    </cacheField>
    <cacheField name="Sales" numFmtId="0">
      <sharedItems containsSemiMixedTypes="0" containsString="0" containsNumber="1" containsInteger="1" minValue="12" maxValue="7200"/>
    </cacheField>
    <cacheField name="Profit" numFmtId="0">
      <sharedItems containsSemiMixedTypes="0" containsString="0" containsNumber="1" minValue="1.93" maxValue="2146.51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01"/>
    <s v="2025-03-13"/>
    <x v="0"/>
    <x v="0"/>
    <x v="0"/>
    <n v="1"/>
    <n v="120"/>
    <n v="120"/>
    <n v="14.82"/>
  </r>
  <r>
    <n v="1002"/>
    <s v="2025-04-22"/>
    <x v="1"/>
    <x v="0"/>
    <x v="0"/>
    <n v="7"/>
    <n v="12"/>
    <n v="84"/>
    <n v="4.95"/>
  </r>
  <r>
    <n v="1003"/>
    <s v="2025-10-29"/>
    <x v="2"/>
    <x v="0"/>
    <x v="0"/>
    <n v="4"/>
    <n v="500"/>
    <n v="2000"/>
    <n v="232.26"/>
  </r>
  <r>
    <n v="1004"/>
    <s v="2025-04-21"/>
    <x v="2"/>
    <x v="1"/>
    <x v="1"/>
    <n v="7"/>
    <n v="250"/>
    <n v="1750"/>
    <n v="233.38"/>
  </r>
  <r>
    <n v="1005"/>
    <s v="2025-06-26"/>
    <x v="2"/>
    <x v="1"/>
    <x v="2"/>
    <n v="7"/>
    <n v="25"/>
    <n v="175"/>
    <n v="27.6"/>
  </r>
  <r>
    <n v="1006"/>
    <s v="2025-05-31"/>
    <x v="2"/>
    <x v="1"/>
    <x v="3"/>
    <n v="2"/>
    <n v="500"/>
    <n v="1000"/>
    <n v="73.64"/>
  </r>
  <r>
    <n v="1007"/>
    <s v="2025-05-29"/>
    <x v="0"/>
    <x v="0"/>
    <x v="4"/>
    <n v="2"/>
    <n v="12"/>
    <n v="24"/>
    <n v="5.96"/>
  </r>
  <r>
    <n v="1008"/>
    <s v="2025-07-06"/>
    <x v="1"/>
    <x v="1"/>
    <x v="2"/>
    <n v="7"/>
    <n v="120"/>
    <n v="840"/>
    <n v="156.26"/>
  </r>
  <r>
    <n v="1009"/>
    <s v="2025-12-16"/>
    <x v="0"/>
    <x v="2"/>
    <x v="5"/>
    <n v="4"/>
    <n v="120"/>
    <n v="480"/>
    <n v="125.06"/>
  </r>
  <r>
    <n v="1010"/>
    <s v="2025-05-19"/>
    <x v="1"/>
    <x v="0"/>
    <x v="4"/>
    <n v="4"/>
    <n v="40"/>
    <n v="160"/>
    <n v="30.19"/>
  </r>
  <r>
    <n v="1011"/>
    <s v="2025-06-11"/>
    <x v="3"/>
    <x v="0"/>
    <x v="6"/>
    <n v="1"/>
    <n v="75"/>
    <n v="75"/>
    <n v="22.24"/>
  </r>
  <r>
    <n v="1012"/>
    <s v="2025-09-13"/>
    <x v="3"/>
    <x v="2"/>
    <x v="7"/>
    <n v="4"/>
    <n v="250"/>
    <n v="1000"/>
    <n v="113.79"/>
  </r>
  <r>
    <n v="1013"/>
    <s v="2025-10-15"/>
    <x v="2"/>
    <x v="0"/>
    <x v="8"/>
    <n v="3"/>
    <n v="120"/>
    <n v="360"/>
    <n v="33.08"/>
  </r>
  <r>
    <n v="1014"/>
    <s v="2025-03-12"/>
    <x v="3"/>
    <x v="0"/>
    <x v="8"/>
    <n v="7"/>
    <n v="250"/>
    <n v="1750"/>
    <n v="202.64"/>
  </r>
  <r>
    <n v="1015"/>
    <s v="2025-12-15"/>
    <x v="3"/>
    <x v="1"/>
    <x v="2"/>
    <n v="2"/>
    <n v="40"/>
    <n v="80"/>
    <n v="19.059999999999999"/>
  </r>
  <r>
    <n v="1016"/>
    <s v="2025-08-28"/>
    <x v="2"/>
    <x v="0"/>
    <x v="0"/>
    <n v="7"/>
    <n v="500"/>
    <n v="3500"/>
    <n v="800.68"/>
  </r>
  <r>
    <n v="1017"/>
    <s v="2025-06-24"/>
    <x v="0"/>
    <x v="0"/>
    <x v="0"/>
    <n v="2"/>
    <n v="120"/>
    <n v="240"/>
    <n v="67.34"/>
  </r>
  <r>
    <n v="1018"/>
    <s v="2025-05-15"/>
    <x v="1"/>
    <x v="2"/>
    <x v="9"/>
    <n v="3"/>
    <n v="900"/>
    <n v="2700"/>
    <n v="137.63"/>
  </r>
  <r>
    <n v="1019"/>
    <s v="2025-03-24"/>
    <x v="0"/>
    <x v="0"/>
    <x v="0"/>
    <n v="5"/>
    <n v="75"/>
    <n v="375"/>
    <n v="35.94"/>
  </r>
  <r>
    <n v="1020"/>
    <s v="2025-07-05"/>
    <x v="2"/>
    <x v="0"/>
    <x v="6"/>
    <n v="8"/>
    <n v="12"/>
    <n v="96"/>
    <n v="8.02"/>
  </r>
  <r>
    <n v="1021"/>
    <s v="2025-09-06"/>
    <x v="0"/>
    <x v="1"/>
    <x v="2"/>
    <n v="4"/>
    <n v="25"/>
    <n v="100"/>
    <n v="7.57"/>
  </r>
  <r>
    <n v="1022"/>
    <s v="2025-03-26"/>
    <x v="2"/>
    <x v="0"/>
    <x v="4"/>
    <n v="3"/>
    <n v="900"/>
    <n v="2700"/>
    <n v="901.95"/>
  </r>
  <r>
    <n v="1023"/>
    <s v="2025-07-24"/>
    <x v="2"/>
    <x v="0"/>
    <x v="8"/>
    <n v="4"/>
    <n v="75"/>
    <n v="300"/>
    <n v="79.17"/>
  </r>
  <r>
    <n v="1024"/>
    <s v="2025-06-23"/>
    <x v="0"/>
    <x v="2"/>
    <x v="9"/>
    <n v="2"/>
    <n v="75"/>
    <n v="150"/>
    <n v="17.61"/>
  </r>
  <r>
    <n v="1025"/>
    <s v="2025-11-20"/>
    <x v="0"/>
    <x v="0"/>
    <x v="4"/>
    <n v="4"/>
    <n v="12"/>
    <n v="48"/>
    <n v="3.42"/>
  </r>
  <r>
    <n v="1026"/>
    <s v="2025-05-02"/>
    <x v="2"/>
    <x v="1"/>
    <x v="2"/>
    <n v="1"/>
    <n v="250"/>
    <n v="250"/>
    <n v="17.809999999999999"/>
  </r>
  <r>
    <n v="1027"/>
    <s v="2025-10-20"/>
    <x v="3"/>
    <x v="0"/>
    <x v="8"/>
    <n v="4"/>
    <n v="40"/>
    <n v="160"/>
    <n v="42.72"/>
  </r>
  <r>
    <n v="1028"/>
    <s v="2025-12-04"/>
    <x v="3"/>
    <x v="1"/>
    <x v="3"/>
    <n v="7"/>
    <n v="75"/>
    <n v="525"/>
    <n v="41.11"/>
  </r>
  <r>
    <n v="1029"/>
    <s v="2025-01-28"/>
    <x v="0"/>
    <x v="2"/>
    <x v="9"/>
    <n v="7"/>
    <n v="900"/>
    <n v="6300"/>
    <n v="1947.65"/>
  </r>
  <r>
    <n v="1030"/>
    <s v="2025-04-08"/>
    <x v="3"/>
    <x v="1"/>
    <x v="3"/>
    <n v="6"/>
    <n v="25"/>
    <n v="150"/>
    <n v="18.690000000000001"/>
  </r>
  <r>
    <n v="1031"/>
    <s v="2025-02-08"/>
    <x v="3"/>
    <x v="1"/>
    <x v="3"/>
    <n v="3"/>
    <n v="120"/>
    <n v="360"/>
    <n v="67.959999999999994"/>
  </r>
  <r>
    <n v="1032"/>
    <s v="2025-05-02"/>
    <x v="1"/>
    <x v="0"/>
    <x v="0"/>
    <n v="1"/>
    <n v="12"/>
    <n v="12"/>
    <n v="4.09"/>
  </r>
  <r>
    <n v="1033"/>
    <s v="2025-01-31"/>
    <x v="1"/>
    <x v="2"/>
    <x v="9"/>
    <n v="8"/>
    <n v="75"/>
    <n v="600"/>
    <n v="185.64"/>
  </r>
  <r>
    <n v="1034"/>
    <s v="2025-08-21"/>
    <x v="2"/>
    <x v="2"/>
    <x v="7"/>
    <n v="7"/>
    <n v="120"/>
    <n v="840"/>
    <n v="275.48"/>
  </r>
  <r>
    <n v="1035"/>
    <s v="2025-01-30"/>
    <x v="0"/>
    <x v="2"/>
    <x v="9"/>
    <n v="3"/>
    <n v="75"/>
    <n v="225"/>
    <n v="31.28"/>
  </r>
  <r>
    <n v="1036"/>
    <s v="2025-09-15"/>
    <x v="1"/>
    <x v="0"/>
    <x v="6"/>
    <n v="1"/>
    <n v="12"/>
    <n v="12"/>
    <n v="2.7"/>
  </r>
  <r>
    <n v="1037"/>
    <s v="2025-12-12"/>
    <x v="1"/>
    <x v="1"/>
    <x v="2"/>
    <n v="3"/>
    <n v="25"/>
    <n v="75"/>
    <n v="17.14"/>
  </r>
  <r>
    <n v="1038"/>
    <s v="2025-08-03"/>
    <x v="2"/>
    <x v="2"/>
    <x v="7"/>
    <n v="4"/>
    <n v="12"/>
    <n v="48"/>
    <n v="11.32"/>
  </r>
  <r>
    <n v="1039"/>
    <s v="2025-03-09"/>
    <x v="2"/>
    <x v="2"/>
    <x v="10"/>
    <n v="6"/>
    <n v="75"/>
    <n v="450"/>
    <n v="58.36"/>
  </r>
  <r>
    <n v="1040"/>
    <s v="2025-10-16"/>
    <x v="0"/>
    <x v="2"/>
    <x v="5"/>
    <n v="2"/>
    <n v="12"/>
    <n v="24"/>
    <n v="4.5"/>
  </r>
  <r>
    <n v="1041"/>
    <s v="2025-02-05"/>
    <x v="1"/>
    <x v="1"/>
    <x v="1"/>
    <n v="5"/>
    <n v="40"/>
    <n v="200"/>
    <n v="66"/>
  </r>
  <r>
    <n v="1042"/>
    <s v="2025-12-27"/>
    <x v="2"/>
    <x v="2"/>
    <x v="5"/>
    <n v="3"/>
    <n v="900"/>
    <n v="2700"/>
    <n v="810.33"/>
  </r>
  <r>
    <n v="1043"/>
    <s v="2025-03-10"/>
    <x v="2"/>
    <x v="0"/>
    <x v="0"/>
    <n v="5"/>
    <n v="25"/>
    <n v="125"/>
    <n v="41.46"/>
  </r>
  <r>
    <n v="1044"/>
    <s v="2025-04-18"/>
    <x v="2"/>
    <x v="1"/>
    <x v="2"/>
    <n v="3"/>
    <n v="120"/>
    <n v="360"/>
    <n v="48.43"/>
  </r>
  <r>
    <n v="1045"/>
    <s v="2025-01-27"/>
    <x v="0"/>
    <x v="1"/>
    <x v="11"/>
    <n v="8"/>
    <n v="120"/>
    <n v="960"/>
    <n v="308.74"/>
  </r>
  <r>
    <n v="1046"/>
    <s v="2025-03-08"/>
    <x v="2"/>
    <x v="0"/>
    <x v="8"/>
    <n v="5"/>
    <n v="12"/>
    <n v="60"/>
    <n v="3.06"/>
  </r>
  <r>
    <n v="1047"/>
    <s v="2025-12-20"/>
    <x v="1"/>
    <x v="1"/>
    <x v="3"/>
    <n v="7"/>
    <n v="12"/>
    <n v="84"/>
    <n v="7.02"/>
  </r>
  <r>
    <n v="1048"/>
    <s v="2025-01-22"/>
    <x v="2"/>
    <x v="0"/>
    <x v="0"/>
    <n v="6"/>
    <n v="40"/>
    <n v="240"/>
    <n v="42.94"/>
  </r>
  <r>
    <n v="1049"/>
    <s v="2025-12-08"/>
    <x v="0"/>
    <x v="2"/>
    <x v="7"/>
    <n v="6"/>
    <n v="75"/>
    <n v="450"/>
    <n v="114.58"/>
  </r>
  <r>
    <n v="1050"/>
    <s v="2025-04-01"/>
    <x v="3"/>
    <x v="2"/>
    <x v="9"/>
    <n v="3"/>
    <n v="75"/>
    <n v="225"/>
    <n v="69.61"/>
  </r>
  <r>
    <n v="1051"/>
    <s v="2025-05-08"/>
    <x v="2"/>
    <x v="1"/>
    <x v="1"/>
    <n v="6"/>
    <n v="500"/>
    <n v="3000"/>
    <n v="872.01"/>
  </r>
  <r>
    <n v="1052"/>
    <s v="2025-04-24"/>
    <x v="1"/>
    <x v="1"/>
    <x v="2"/>
    <n v="7"/>
    <n v="12"/>
    <n v="84"/>
    <n v="25.84"/>
  </r>
  <r>
    <n v="1053"/>
    <s v="2025-12-04"/>
    <x v="1"/>
    <x v="2"/>
    <x v="5"/>
    <n v="5"/>
    <n v="75"/>
    <n v="375"/>
    <n v="43.83"/>
  </r>
  <r>
    <n v="1054"/>
    <s v="2025-05-23"/>
    <x v="2"/>
    <x v="2"/>
    <x v="5"/>
    <n v="5"/>
    <n v="25"/>
    <n v="125"/>
    <n v="42.51"/>
  </r>
  <r>
    <n v="1055"/>
    <s v="2025-05-14"/>
    <x v="1"/>
    <x v="0"/>
    <x v="8"/>
    <n v="6"/>
    <n v="12"/>
    <n v="72"/>
    <n v="6.09"/>
  </r>
  <r>
    <n v="1056"/>
    <s v="2025-06-26"/>
    <x v="2"/>
    <x v="0"/>
    <x v="6"/>
    <n v="1"/>
    <n v="25"/>
    <n v="25"/>
    <n v="5.72"/>
  </r>
  <r>
    <n v="1057"/>
    <s v="2025-12-29"/>
    <x v="3"/>
    <x v="2"/>
    <x v="7"/>
    <n v="7"/>
    <n v="75"/>
    <n v="525"/>
    <n v="66.37"/>
  </r>
  <r>
    <n v="1058"/>
    <s v="2025-12-07"/>
    <x v="2"/>
    <x v="1"/>
    <x v="1"/>
    <n v="6"/>
    <n v="500"/>
    <n v="3000"/>
    <n v="212.98"/>
  </r>
  <r>
    <n v="1059"/>
    <s v="2025-12-08"/>
    <x v="3"/>
    <x v="0"/>
    <x v="6"/>
    <n v="2"/>
    <n v="120"/>
    <n v="240"/>
    <n v="48.51"/>
  </r>
  <r>
    <n v="1060"/>
    <s v="2025-12-07"/>
    <x v="3"/>
    <x v="2"/>
    <x v="9"/>
    <n v="5"/>
    <n v="40"/>
    <n v="200"/>
    <n v="21.51"/>
  </r>
  <r>
    <n v="1061"/>
    <s v="2025-01-01"/>
    <x v="2"/>
    <x v="0"/>
    <x v="4"/>
    <n v="5"/>
    <n v="500"/>
    <n v="2500"/>
    <n v="535.95000000000005"/>
  </r>
  <r>
    <n v="1062"/>
    <s v="2025-08-15"/>
    <x v="1"/>
    <x v="2"/>
    <x v="10"/>
    <n v="7"/>
    <n v="250"/>
    <n v="1750"/>
    <n v="331.62"/>
  </r>
  <r>
    <n v="1063"/>
    <s v="2025-12-06"/>
    <x v="2"/>
    <x v="0"/>
    <x v="8"/>
    <n v="3"/>
    <n v="25"/>
    <n v="75"/>
    <n v="10.14"/>
  </r>
  <r>
    <n v="1064"/>
    <s v="2025-03-17"/>
    <x v="0"/>
    <x v="1"/>
    <x v="1"/>
    <n v="5"/>
    <n v="75"/>
    <n v="375"/>
    <n v="109.49"/>
  </r>
  <r>
    <n v="1065"/>
    <s v="2025-11-19"/>
    <x v="1"/>
    <x v="1"/>
    <x v="1"/>
    <n v="8"/>
    <n v="25"/>
    <n v="200"/>
    <n v="37.32"/>
  </r>
  <r>
    <n v="1066"/>
    <s v="2025-12-02"/>
    <x v="0"/>
    <x v="0"/>
    <x v="8"/>
    <n v="8"/>
    <n v="500"/>
    <n v="4000"/>
    <n v="492.78"/>
  </r>
  <r>
    <n v="1067"/>
    <s v="2025-12-23"/>
    <x v="3"/>
    <x v="1"/>
    <x v="3"/>
    <n v="4"/>
    <n v="40"/>
    <n v="160"/>
    <n v="46.6"/>
  </r>
  <r>
    <n v="1068"/>
    <s v="2025-08-26"/>
    <x v="2"/>
    <x v="1"/>
    <x v="1"/>
    <n v="2"/>
    <n v="900"/>
    <n v="1800"/>
    <n v="162"/>
  </r>
  <r>
    <n v="1069"/>
    <s v="2025-09-01"/>
    <x v="3"/>
    <x v="2"/>
    <x v="9"/>
    <n v="8"/>
    <n v="40"/>
    <n v="320"/>
    <n v="87.39"/>
  </r>
  <r>
    <n v="1070"/>
    <s v="2025-05-21"/>
    <x v="3"/>
    <x v="2"/>
    <x v="10"/>
    <n v="5"/>
    <n v="900"/>
    <n v="4500"/>
    <n v="1071.1099999999999"/>
  </r>
  <r>
    <n v="1071"/>
    <s v="2025-10-04"/>
    <x v="0"/>
    <x v="1"/>
    <x v="11"/>
    <n v="4"/>
    <n v="120"/>
    <n v="480"/>
    <n v="72.36"/>
  </r>
  <r>
    <n v="1072"/>
    <s v="2025-12-28"/>
    <x v="1"/>
    <x v="1"/>
    <x v="1"/>
    <n v="4"/>
    <n v="500"/>
    <n v="2000"/>
    <n v="516.37"/>
  </r>
  <r>
    <n v="1073"/>
    <s v="2025-08-01"/>
    <x v="0"/>
    <x v="1"/>
    <x v="3"/>
    <n v="7"/>
    <n v="250"/>
    <n v="1750"/>
    <n v="372.37"/>
  </r>
  <r>
    <n v="1074"/>
    <s v="2025-10-22"/>
    <x v="3"/>
    <x v="1"/>
    <x v="3"/>
    <n v="7"/>
    <n v="12"/>
    <n v="84"/>
    <n v="25.79"/>
  </r>
  <r>
    <n v="1075"/>
    <s v="2025-08-03"/>
    <x v="1"/>
    <x v="2"/>
    <x v="7"/>
    <n v="6"/>
    <n v="120"/>
    <n v="720"/>
    <n v="198.75"/>
  </r>
  <r>
    <n v="1076"/>
    <s v="2025-07-19"/>
    <x v="2"/>
    <x v="2"/>
    <x v="10"/>
    <n v="5"/>
    <n v="500"/>
    <n v="2500"/>
    <n v="489.23"/>
  </r>
  <r>
    <n v="1077"/>
    <s v="2025-11-15"/>
    <x v="0"/>
    <x v="0"/>
    <x v="8"/>
    <n v="3"/>
    <n v="900"/>
    <n v="2700"/>
    <n v="879.83"/>
  </r>
  <r>
    <n v="1078"/>
    <s v="2025-08-25"/>
    <x v="1"/>
    <x v="2"/>
    <x v="7"/>
    <n v="2"/>
    <n v="500"/>
    <n v="1000"/>
    <n v="90.71"/>
  </r>
  <r>
    <n v="1079"/>
    <s v="2025-06-17"/>
    <x v="2"/>
    <x v="1"/>
    <x v="11"/>
    <n v="7"/>
    <n v="250"/>
    <n v="1750"/>
    <n v="198.62"/>
  </r>
  <r>
    <n v="1080"/>
    <s v="2025-08-29"/>
    <x v="0"/>
    <x v="2"/>
    <x v="5"/>
    <n v="7"/>
    <n v="120"/>
    <n v="840"/>
    <n v="252.4"/>
  </r>
  <r>
    <n v="1081"/>
    <s v="2025-11-30"/>
    <x v="0"/>
    <x v="0"/>
    <x v="0"/>
    <n v="6"/>
    <n v="75"/>
    <n v="450"/>
    <n v="110.27"/>
  </r>
  <r>
    <n v="1082"/>
    <s v="2025-05-03"/>
    <x v="1"/>
    <x v="1"/>
    <x v="1"/>
    <n v="4"/>
    <n v="12"/>
    <n v="48"/>
    <n v="11.35"/>
  </r>
  <r>
    <n v="1083"/>
    <s v="2025-07-08"/>
    <x v="1"/>
    <x v="2"/>
    <x v="7"/>
    <n v="4"/>
    <n v="900"/>
    <n v="3600"/>
    <n v="935.42"/>
  </r>
  <r>
    <n v="1084"/>
    <s v="2025-01-14"/>
    <x v="2"/>
    <x v="0"/>
    <x v="0"/>
    <n v="3"/>
    <n v="120"/>
    <n v="360"/>
    <n v="29.67"/>
  </r>
  <r>
    <n v="1085"/>
    <s v="2025-12-20"/>
    <x v="1"/>
    <x v="0"/>
    <x v="8"/>
    <n v="7"/>
    <n v="75"/>
    <n v="525"/>
    <n v="38.22"/>
  </r>
  <r>
    <n v="1086"/>
    <s v="2025-08-08"/>
    <x v="2"/>
    <x v="1"/>
    <x v="11"/>
    <n v="2"/>
    <n v="12"/>
    <n v="24"/>
    <n v="3.7"/>
  </r>
  <r>
    <n v="1087"/>
    <s v="2025-02-24"/>
    <x v="3"/>
    <x v="1"/>
    <x v="11"/>
    <n v="1"/>
    <n v="500"/>
    <n v="500"/>
    <n v="148.35"/>
  </r>
  <r>
    <n v="1088"/>
    <s v="2025-09-25"/>
    <x v="2"/>
    <x v="2"/>
    <x v="9"/>
    <n v="3"/>
    <n v="500"/>
    <n v="1500"/>
    <n v="154.26"/>
  </r>
  <r>
    <n v="1089"/>
    <s v="2025-10-31"/>
    <x v="2"/>
    <x v="0"/>
    <x v="8"/>
    <n v="8"/>
    <n v="500"/>
    <n v="4000"/>
    <n v="1190.8800000000001"/>
  </r>
  <r>
    <n v="1090"/>
    <s v="2025-05-05"/>
    <x v="3"/>
    <x v="2"/>
    <x v="10"/>
    <n v="2"/>
    <n v="120"/>
    <n v="240"/>
    <n v="75.48"/>
  </r>
  <r>
    <n v="1091"/>
    <s v="2025-06-16"/>
    <x v="1"/>
    <x v="0"/>
    <x v="8"/>
    <n v="6"/>
    <n v="12"/>
    <n v="72"/>
    <n v="14.28"/>
  </r>
  <r>
    <n v="1092"/>
    <s v="2025-11-02"/>
    <x v="2"/>
    <x v="2"/>
    <x v="10"/>
    <n v="6"/>
    <n v="120"/>
    <n v="720"/>
    <n v="109.51"/>
  </r>
  <r>
    <n v="1093"/>
    <s v="2025-07-28"/>
    <x v="3"/>
    <x v="0"/>
    <x v="0"/>
    <n v="4"/>
    <n v="25"/>
    <n v="100"/>
    <n v="12.24"/>
  </r>
  <r>
    <n v="1094"/>
    <s v="2025-01-09"/>
    <x v="0"/>
    <x v="0"/>
    <x v="4"/>
    <n v="8"/>
    <n v="900"/>
    <n v="7200"/>
    <n v="1328.06"/>
  </r>
  <r>
    <n v="1095"/>
    <s v="2025-10-25"/>
    <x v="2"/>
    <x v="2"/>
    <x v="10"/>
    <n v="7"/>
    <n v="75"/>
    <n v="525"/>
    <n v="74.48"/>
  </r>
  <r>
    <n v="1096"/>
    <s v="2025-08-21"/>
    <x v="2"/>
    <x v="2"/>
    <x v="5"/>
    <n v="7"/>
    <n v="250"/>
    <n v="1750"/>
    <n v="272.2"/>
  </r>
  <r>
    <n v="1097"/>
    <s v="2025-06-11"/>
    <x v="0"/>
    <x v="2"/>
    <x v="5"/>
    <n v="4"/>
    <n v="25"/>
    <n v="100"/>
    <n v="26.64"/>
  </r>
  <r>
    <n v="1098"/>
    <s v="2025-05-22"/>
    <x v="2"/>
    <x v="0"/>
    <x v="4"/>
    <n v="4"/>
    <n v="75"/>
    <n v="300"/>
    <n v="81.47"/>
  </r>
  <r>
    <n v="1099"/>
    <s v="2025-06-04"/>
    <x v="0"/>
    <x v="1"/>
    <x v="1"/>
    <n v="5"/>
    <n v="75"/>
    <n v="375"/>
    <n v="59.35"/>
  </r>
  <r>
    <n v="1100"/>
    <s v="2025-10-11"/>
    <x v="2"/>
    <x v="0"/>
    <x v="4"/>
    <n v="5"/>
    <n v="12"/>
    <n v="60"/>
    <n v="20.54"/>
  </r>
  <r>
    <n v="1101"/>
    <s v="2025-10-21"/>
    <x v="2"/>
    <x v="0"/>
    <x v="4"/>
    <n v="8"/>
    <n v="25"/>
    <n v="200"/>
    <n v="62.36"/>
  </r>
  <r>
    <n v="1102"/>
    <s v="2025-01-27"/>
    <x v="2"/>
    <x v="2"/>
    <x v="9"/>
    <n v="8"/>
    <n v="250"/>
    <n v="2000"/>
    <n v="210.62"/>
  </r>
  <r>
    <n v="1103"/>
    <s v="2025-10-23"/>
    <x v="0"/>
    <x v="2"/>
    <x v="7"/>
    <n v="2"/>
    <n v="500"/>
    <n v="1000"/>
    <n v="197.52"/>
  </r>
  <r>
    <n v="1104"/>
    <s v="2025-03-02"/>
    <x v="3"/>
    <x v="1"/>
    <x v="1"/>
    <n v="5"/>
    <n v="25"/>
    <n v="125"/>
    <n v="43.52"/>
  </r>
  <r>
    <n v="1105"/>
    <s v="2025-06-02"/>
    <x v="3"/>
    <x v="0"/>
    <x v="4"/>
    <n v="7"/>
    <n v="900"/>
    <n v="6300"/>
    <n v="2032.07"/>
  </r>
  <r>
    <n v="1106"/>
    <s v="2025-05-16"/>
    <x v="0"/>
    <x v="2"/>
    <x v="7"/>
    <n v="2"/>
    <n v="75"/>
    <n v="150"/>
    <n v="35.65"/>
  </r>
  <r>
    <n v="1107"/>
    <s v="2025-07-29"/>
    <x v="3"/>
    <x v="1"/>
    <x v="1"/>
    <n v="3"/>
    <n v="25"/>
    <n v="75"/>
    <n v="7.27"/>
  </r>
  <r>
    <n v="1108"/>
    <s v="2025-12-28"/>
    <x v="2"/>
    <x v="0"/>
    <x v="8"/>
    <n v="5"/>
    <n v="12"/>
    <n v="60"/>
    <n v="7.17"/>
  </r>
  <r>
    <n v="1109"/>
    <s v="2025-11-17"/>
    <x v="1"/>
    <x v="0"/>
    <x v="8"/>
    <n v="2"/>
    <n v="75"/>
    <n v="150"/>
    <n v="49.08"/>
  </r>
  <r>
    <n v="1110"/>
    <s v="2025-03-14"/>
    <x v="0"/>
    <x v="2"/>
    <x v="7"/>
    <n v="4"/>
    <n v="40"/>
    <n v="160"/>
    <n v="51.6"/>
  </r>
  <r>
    <n v="1111"/>
    <s v="2025-08-28"/>
    <x v="2"/>
    <x v="1"/>
    <x v="1"/>
    <n v="5"/>
    <n v="120"/>
    <n v="600"/>
    <n v="109.05"/>
  </r>
  <r>
    <n v="1112"/>
    <s v="2025-11-03"/>
    <x v="0"/>
    <x v="0"/>
    <x v="8"/>
    <n v="5"/>
    <n v="900"/>
    <n v="4500"/>
    <n v="815.97"/>
  </r>
  <r>
    <n v="1113"/>
    <s v="2025-12-12"/>
    <x v="0"/>
    <x v="2"/>
    <x v="5"/>
    <n v="5"/>
    <n v="12"/>
    <n v="60"/>
    <n v="4.6399999999999997"/>
  </r>
  <r>
    <n v="1114"/>
    <s v="2025-11-30"/>
    <x v="3"/>
    <x v="0"/>
    <x v="6"/>
    <n v="1"/>
    <n v="40"/>
    <n v="40"/>
    <n v="7.65"/>
  </r>
  <r>
    <n v="1115"/>
    <s v="2025-08-29"/>
    <x v="2"/>
    <x v="2"/>
    <x v="10"/>
    <n v="7"/>
    <n v="900"/>
    <n v="6300"/>
    <n v="2146.5100000000002"/>
  </r>
  <r>
    <n v="1116"/>
    <s v="2025-06-18"/>
    <x v="3"/>
    <x v="2"/>
    <x v="5"/>
    <n v="6"/>
    <n v="25"/>
    <n v="150"/>
    <n v="46.1"/>
  </r>
  <r>
    <n v="1117"/>
    <s v="2025-10-09"/>
    <x v="0"/>
    <x v="0"/>
    <x v="8"/>
    <n v="5"/>
    <n v="500"/>
    <n v="2500"/>
    <n v="735.17"/>
  </r>
  <r>
    <n v="1118"/>
    <s v="2025-07-26"/>
    <x v="0"/>
    <x v="2"/>
    <x v="7"/>
    <n v="6"/>
    <n v="120"/>
    <n v="720"/>
    <n v="105.83"/>
  </r>
  <r>
    <n v="1119"/>
    <s v="2025-07-05"/>
    <x v="3"/>
    <x v="0"/>
    <x v="8"/>
    <n v="7"/>
    <n v="12"/>
    <n v="84"/>
    <n v="8.93"/>
  </r>
  <r>
    <n v="1120"/>
    <s v="2025-03-09"/>
    <x v="2"/>
    <x v="0"/>
    <x v="8"/>
    <n v="1"/>
    <n v="75"/>
    <n v="75"/>
    <n v="9.76"/>
  </r>
  <r>
    <n v="1121"/>
    <s v="2025-11-08"/>
    <x v="1"/>
    <x v="2"/>
    <x v="9"/>
    <n v="2"/>
    <n v="12"/>
    <n v="24"/>
    <n v="8.2100000000000009"/>
  </r>
  <r>
    <n v="1122"/>
    <s v="2025-02-17"/>
    <x v="1"/>
    <x v="0"/>
    <x v="4"/>
    <n v="5"/>
    <n v="12"/>
    <n v="60"/>
    <n v="12.94"/>
  </r>
  <r>
    <n v="1123"/>
    <s v="2025-05-30"/>
    <x v="2"/>
    <x v="1"/>
    <x v="3"/>
    <n v="2"/>
    <n v="40"/>
    <n v="80"/>
    <n v="15.96"/>
  </r>
  <r>
    <n v="1124"/>
    <s v="2025-03-16"/>
    <x v="3"/>
    <x v="2"/>
    <x v="9"/>
    <n v="8"/>
    <n v="75"/>
    <n v="600"/>
    <n v="112.22"/>
  </r>
  <r>
    <n v="1125"/>
    <s v="2025-08-01"/>
    <x v="2"/>
    <x v="1"/>
    <x v="1"/>
    <n v="2"/>
    <n v="120"/>
    <n v="240"/>
    <n v="67.63"/>
  </r>
  <r>
    <n v="1126"/>
    <s v="2025-10-28"/>
    <x v="3"/>
    <x v="0"/>
    <x v="6"/>
    <n v="1"/>
    <n v="120"/>
    <n v="120"/>
    <n v="32.14"/>
  </r>
  <r>
    <n v="1127"/>
    <s v="2025-10-06"/>
    <x v="3"/>
    <x v="1"/>
    <x v="3"/>
    <n v="8"/>
    <n v="250"/>
    <n v="2000"/>
    <n v="299.45999999999998"/>
  </r>
  <r>
    <n v="1128"/>
    <s v="2025-04-30"/>
    <x v="3"/>
    <x v="2"/>
    <x v="5"/>
    <n v="4"/>
    <n v="75"/>
    <n v="300"/>
    <n v="66.459999999999994"/>
  </r>
  <r>
    <n v="1129"/>
    <s v="2025-12-06"/>
    <x v="1"/>
    <x v="1"/>
    <x v="11"/>
    <n v="8"/>
    <n v="500"/>
    <n v="4000"/>
    <n v="663.29"/>
  </r>
  <r>
    <n v="1130"/>
    <s v="2025-08-14"/>
    <x v="0"/>
    <x v="2"/>
    <x v="7"/>
    <n v="3"/>
    <n v="250"/>
    <n v="750"/>
    <n v="233.18"/>
  </r>
  <r>
    <n v="1131"/>
    <s v="2025-12-02"/>
    <x v="1"/>
    <x v="0"/>
    <x v="8"/>
    <n v="1"/>
    <n v="40"/>
    <n v="40"/>
    <n v="6.92"/>
  </r>
  <r>
    <n v="1132"/>
    <s v="2025-07-23"/>
    <x v="0"/>
    <x v="1"/>
    <x v="3"/>
    <n v="5"/>
    <n v="250"/>
    <n v="1250"/>
    <n v="296.22000000000003"/>
  </r>
  <r>
    <n v="1133"/>
    <s v="2025-01-19"/>
    <x v="0"/>
    <x v="2"/>
    <x v="9"/>
    <n v="6"/>
    <n v="900"/>
    <n v="5400"/>
    <n v="1683.26"/>
  </r>
  <r>
    <n v="1134"/>
    <s v="2025-02-20"/>
    <x v="0"/>
    <x v="1"/>
    <x v="11"/>
    <n v="4"/>
    <n v="25"/>
    <n v="100"/>
    <n v="18.02"/>
  </r>
  <r>
    <n v="1135"/>
    <s v="2025-01-29"/>
    <x v="2"/>
    <x v="2"/>
    <x v="10"/>
    <n v="5"/>
    <n v="12"/>
    <n v="60"/>
    <n v="3.83"/>
  </r>
  <r>
    <n v="1136"/>
    <s v="2025-07-30"/>
    <x v="1"/>
    <x v="2"/>
    <x v="5"/>
    <n v="7"/>
    <n v="40"/>
    <n v="280"/>
    <n v="34.51"/>
  </r>
  <r>
    <n v="1137"/>
    <s v="2025-05-04"/>
    <x v="3"/>
    <x v="1"/>
    <x v="1"/>
    <n v="2"/>
    <n v="500"/>
    <n v="1000"/>
    <n v="235.91"/>
  </r>
  <r>
    <n v="1138"/>
    <s v="2025-08-24"/>
    <x v="2"/>
    <x v="0"/>
    <x v="4"/>
    <n v="4"/>
    <n v="900"/>
    <n v="3600"/>
    <n v="868.94"/>
  </r>
  <r>
    <n v="1139"/>
    <s v="2025-03-22"/>
    <x v="0"/>
    <x v="0"/>
    <x v="0"/>
    <n v="8"/>
    <n v="120"/>
    <n v="960"/>
    <n v="243.15"/>
  </r>
  <r>
    <n v="1140"/>
    <s v="2025-08-22"/>
    <x v="2"/>
    <x v="2"/>
    <x v="5"/>
    <n v="5"/>
    <n v="500"/>
    <n v="2500"/>
    <n v="642.74"/>
  </r>
  <r>
    <n v="1141"/>
    <s v="2025-10-20"/>
    <x v="2"/>
    <x v="1"/>
    <x v="3"/>
    <n v="8"/>
    <n v="25"/>
    <n v="200"/>
    <n v="24.23"/>
  </r>
  <r>
    <n v="1142"/>
    <s v="2025-12-04"/>
    <x v="3"/>
    <x v="0"/>
    <x v="6"/>
    <n v="5"/>
    <n v="12"/>
    <n v="60"/>
    <n v="20.6"/>
  </r>
  <r>
    <n v="1143"/>
    <s v="2025-05-27"/>
    <x v="1"/>
    <x v="2"/>
    <x v="7"/>
    <n v="1"/>
    <n v="900"/>
    <n v="900"/>
    <n v="269.87"/>
  </r>
  <r>
    <n v="1144"/>
    <s v="2025-12-14"/>
    <x v="1"/>
    <x v="0"/>
    <x v="6"/>
    <n v="4"/>
    <n v="75"/>
    <n v="300"/>
    <n v="70.88"/>
  </r>
  <r>
    <n v="1145"/>
    <s v="2025-01-18"/>
    <x v="2"/>
    <x v="0"/>
    <x v="0"/>
    <n v="1"/>
    <n v="120"/>
    <n v="120"/>
    <n v="34.39"/>
  </r>
  <r>
    <n v="1146"/>
    <s v="2025-08-01"/>
    <x v="1"/>
    <x v="0"/>
    <x v="4"/>
    <n v="2"/>
    <n v="120"/>
    <n v="240"/>
    <n v="35.520000000000003"/>
  </r>
  <r>
    <n v="1147"/>
    <s v="2025-05-12"/>
    <x v="3"/>
    <x v="1"/>
    <x v="1"/>
    <n v="6"/>
    <n v="120"/>
    <n v="720"/>
    <n v="215.38"/>
  </r>
  <r>
    <n v="1148"/>
    <s v="2025-03-14"/>
    <x v="1"/>
    <x v="2"/>
    <x v="5"/>
    <n v="2"/>
    <n v="900"/>
    <n v="1800"/>
    <n v="609.96"/>
  </r>
  <r>
    <n v="1149"/>
    <s v="2025-01-08"/>
    <x v="2"/>
    <x v="0"/>
    <x v="8"/>
    <n v="6"/>
    <n v="25"/>
    <n v="150"/>
    <n v="43.08"/>
  </r>
  <r>
    <n v="1150"/>
    <s v="2025-12-11"/>
    <x v="2"/>
    <x v="0"/>
    <x v="0"/>
    <n v="8"/>
    <n v="250"/>
    <n v="2000"/>
    <n v="503.7"/>
  </r>
  <r>
    <n v="1151"/>
    <s v="2025-08-30"/>
    <x v="0"/>
    <x v="0"/>
    <x v="8"/>
    <n v="6"/>
    <n v="25"/>
    <n v="150"/>
    <n v="37.869999999999997"/>
  </r>
  <r>
    <n v="1152"/>
    <s v="2025-08-26"/>
    <x v="2"/>
    <x v="0"/>
    <x v="6"/>
    <n v="4"/>
    <n v="25"/>
    <n v="100"/>
    <n v="24.06"/>
  </r>
  <r>
    <n v="1153"/>
    <s v="2025-01-20"/>
    <x v="2"/>
    <x v="0"/>
    <x v="8"/>
    <n v="2"/>
    <n v="40"/>
    <n v="80"/>
    <n v="5.09"/>
  </r>
  <r>
    <n v="1154"/>
    <s v="2025-03-11"/>
    <x v="3"/>
    <x v="2"/>
    <x v="7"/>
    <n v="2"/>
    <n v="75"/>
    <n v="150"/>
    <n v="47.43"/>
  </r>
  <r>
    <n v="1155"/>
    <s v="2025-12-02"/>
    <x v="0"/>
    <x v="2"/>
    <x v="5"/>
    <n v="7"/>
    <n v="40"/>
    <n v="280"/>
    <n v="88.37"/>
  </r>
  <r>
    <n v="1156"/>
    <s v="2025-04-22"/>
    <x v="3"/>
    <x v="2"/>
    <x v="9"/>
    <n v="5"/>
    <n v="12"/>
    <n v="60"/>
    <n v="15.43"/>
  </r>
  <r>
    <n v="1157"/>
    <s v="2025-07-08"/>
    <x v="2"/>
    <x v="2"/>
    <x v="10"/>
    <n v="6"/>
    <n v="25"/>
    <n v="150"/>
    <n v="51.64"/>
  </r>
  <r>
    <n v="1158"/>
    <s v="2025-08-21"/>
    <x v="0"/>
    <x v="1"/>
    <x v="3"/>
    <n v="5"/>
    <n v="75"/>
    <n v="375"/>
    <n v="127.67"/>
  </r>
  <r>
    <n v="1159"/>
    <s v="2025-05-05"/>
    <x v="1"/>
    <x v="0"/>
    <x v="4"/>
    <n v="1"/>
    <n v="12"/>
    <n v="12"/>
    <n v="3.43"/>
  </r>
  <r>
    <n v="1160"/>
    <s v="2025-04-30"/>
    <x v="2"/>
    <x v="0"/>
    <x v="4"/>
    <n v="2"/>
    <n v="75"/>
    <n v="150"/>
    <n v="33.89"/>
  </r>
  <r>
    <n v="1161"/>
    <s v="2025-10-04"/>
    <x v="2"/>
    <x v="1"/>
    <x v="2"/>
    <n v="5"/>
    <n v="40"/>
    <n v="200"/>
    <n v="69.25"/>
  </r>
  <r>
    <n v="1162"/>
    <s v="2025-05-02"/>
    <x v="2"/>
    <x v="1"/>
    <x v="2"/>
    <n v="1"/>
    <n v="40"/>
    <n v="40"/>
    <n v="2.1800000000000002"/>
  </r>
  <r>
    <n v="1163"/>
    <s v="2025-08-04"/>
    <x v="0"/>
    <x v="1"/>
    <x v="1"/>
    <n v="5"/>
    <n v="12"/>
    <n v="60"/>
    <n v="5.28"/>
  </r>
  <r>
    <n v="1164"/>
    <s v="2025-09-20"/>
    <x v="0"/>
    <x v="0"/>
    <x v="0"/>
    <n v="8"/>
    <n v="900"/>
    <n v="7200"/>
    <n v="2040.52"/>
  </r>
  <r>
    <n v="1165"/>
    <s v="2025-01-16"/>
    <x v="0"/>
    <x v="2"/>
    <x v="10"/>
    <n v="1"/>
    <n v="120"/>
    <n v="120"/>
    <n v="22.49"/>
  </r>
  <r>
    <n v="1166"/>
    <s v="2025-08-16"/>
    <x v="0"/>
    <x v="2"/>
    <x v="9"/>
    <n v="7"/>
    <n v="25"/>
    <n v="175"/>
    <n v="34.49"/>
  </r>
  <r>
    <n v="1167"/>
    <s v="2025-11-16"/>
    <x v="2"/>
    <x v="1"/>
    <x v="11"/>
    <n v="3"/>
    <n v="25"/>
    <n v="75"/>
    <n v="6.59"/>
  </r>
  <r>
    <n v="1168"/>
    <s v="2025-12-26"/>
    <x v="0"/>
    <x v="2"/>
    <x v="5"/>
    <n v="8"/>
    <n v="500"/>
    <n v="4000"/>
    <n v="319.01"/>
  </r>
  <r>
    <n v="1169"/>
    <s v="2025-07-31"/>
    <x v="2"/>
    <x v="0"/>
    <x v="4"/>
    <n v="7"/>
    <n v="900"/>
    <n v="6300"/>
    <n v="1993.49"/>
  </r>
  <r>
    <n v="1170"/>
    <s v="2025-06-10"/>
    <x v="2"/>
    <x v="2"/>
    <x v="9"/>
    <n v="7"/>
    <n v="25"/>
    <n v="175"/>
    <n v="25.16"/>
  </r>
  <r>
    <n v="1171"/>
    <s v="2025-02-13"/>
    <x v="0"/>
    <x v="2"/>
    <x v="10"/>
    <n v="8"/>
    <n v="25"/>
    <n v="200"/>
    <n v="15.47"/>
  </r>
  <r>
    <n v="1172"/>
    <s v="2025-10-28"/>
    <x v="2"/>
    <x v="2"/>
    <x v="7"/>
    <n v="6"/>
    <n v="40"/>
    <n v="240"/>
    <n v="52.06"/>
  </r>
  <r>
    <n v="1173"/>
    <s v="2025-08-05"/>
    <x v="0"/>
    <x v="0"/>
    <x v="0"/>
    <n v="7"/>
    <n v="250"/>
    <n v="1750"/>
    <n v="546.14"/>
  </r>
  <r>
    <n v="1174"/>
    <s v="2025-04-19"/>
    <x v="1"/>
    <x v="2"/>
    <x v="5"/>
    <n v="6"/>
    <n v="25"/>
    <n v="150"/>
    <n v="33.51"/>
  </r>
  <r>
    <n v="1175"/>
    <s v="2025-10-12"/>
    <x v="2"/>
    <x v="0"/>
    <x v="8"/>
    <n v="4"/>
    <n v="25"/>
    <n v="100"/>
    <n v="15.5"/>
  </r>
  <r>
    <n v="1176"/>
    <s v="2025-11-15"/>
    <x v="0"/>
    <x v="1"/>
    <x v="11"/>
    <n v="4"/>
    <n v="500"/>
    <n v="2000"/>
    <n v="607.09"/>
  </r>
  <r>
    <n v="1177"/>
    <s v="2025-06-08"/>
    <x v="2"/>
    <x v="0"/>
    <x v="6"/>
    <n v="1"/>
    <n v="40"/>
    <n v="40"/>
    <n v="5.28"/>
  </r>
  <r>
    <n v="1178"/>
    <s v="2025-07-25"/>
    <x v="0"/>
    <x v="2"/>
    <x v="7"/>
    <n v="3"/>
    <n v="40"/>
    <n v="120"/>
    <n v="26.39"/>
  </r>
  <r>
    <n v="1179"/>
    <s v="2025-08-21"/>
    <x v="2"/>
    <x v="1"/>
    <x v="2"/>
    <n v="2"/>
    <n v="75"/>
    <n v="150"/>
    <n v="24.43"/>
  </r>
  <r>
    <n v="1180"/>
    <s v="2025-10-18"/>
    <x v="0"/>
    <x v="1"/>
    <x v="11"/>
    <n v="5"/>
    <n v="250"/>
    <n v="1250"/>
    <n v="353.81"/>
  </r>
  <r>
    <n v="1181"/>
    <s v="2025-05-20"/>
    <x v="3"/>
    <x v="1"/>
    <x v="1"/>
    <n v="3"/>
    <n v="12"/>
    <n v="36"/>
    <n v="9.08"/>
  </r>
  <r>
    <n v="1182"/>
    <s v="2025-04-21"/>
    <x v="0"/>
    <x v="0"/>
    <x v="8"/>
    <n v="8"/>
    <n v="900"/>
    <n v="7200"/>
    <n v="1254.6400000000001"/>
  </r>
  <r>
    <n v="1183"/>
    <s v="2025-10-31"/>
    <x v="3"/>
    <x v="2"/>
    <x v="9"/>
    <n v="2"/>
    <n v="120"/>
    <n v="240"/>
    <n v="60.83"/>
  </r>
  <r>
    <n v="1184"/>
    <s v="2025-11-03"/>
    <x v="0"/>
    <x v="0"/>
    <x v="6"/>
    <n v="1"/>
    <n v="75"/>
    <n v="75"/>
    <n v="12.64"/>
  </r>
  <r>
    <n v="1185"/>
    <s v="2025-05-11"/>
    <x v="2"/>
    <x v="1"/>
    <x v="1"/>
    <n v="5"/>
    <n v="75"/>
    <n v="375"/>
    <n v="105.08"/>
  </r>
  <r>
    <n v="1186"/>
    <s v="2025-03-31"/>
    <x v="1"/>
    <x v="2"/>
    <x v="7"/>
    <n v="1"/>
    <n v="900"/>
    <n v="900"/>
    <n v="246.69"/>
  </r>
  <r>
    <n v="1187"/>
    <s v="2025-01-22"/>
    <x v="3"/>
    <x v="2"/>
    <x v="10"/>
    <n v="6"/>
    <n v="25"/>
    <n v="150"/>
    <n v="25.37"/>
  </r>
  <r>
    <n v="1188"/>
    <s v="2025-10-21"/>
    <x v="3"/>
    <x v="1"/>
    <x v="3"/>
    <n v="2"/>
    <n v="250"/>
    <n v="500"/>
    <n v="111.36"/>
  </r>
  <r>
    <n v="1189"/>
    <s v="2025-06-16"/>
    <x v="1"/>
    <x v="0"/>
    <x v="8"/>
    <n v="5"/>
    <n v="25"/>
    <n v="125"/>
    <n v="21.44"/>
  </r>
  <r>
    <n v="1190"/>
    <s v="2025-02-24"/>
    <x v="1"/>
    <x v="0"/>
    <x v="8"/>
    <n v="6"/>
    <n v="25"/>
    <n v="150"/>
    <n v="27.15"/>
  </r>
  <r>
    <n v="1191"/>
    <s v="2025-06-23"/>
    <x v="1"/>
    <x v="2"/>
    <x v="9"/>
    <n v="2"/>
    <n v="500"/>
    <n v="1000"/>
    <n v="311.16000000000003"/>
  </r>
  <r>
    <n v="1192"/>
    <s v="2025-04-10"/>
    <x v="2"/>
    <x v="2"/>
    <x v="10"/>
    <n v="2"/>
    <n v="25"/>
    <n v="50"/>
    <n v="10.46"/>
  </r>
  <r>
    <n v="1193"/>
    <s v="2025-04-12"/>
    <x v="1"/>
    <x v="2"/>
    <x v="10"/>
    <n v="4"/>
    <n v="25"/>
    <n v="100"/>
    <n v="9.39"/>
  </r>
  <r>
    <n v="1194"/>
    <s v="2025-11-18"/>
    <x v="3"/>
    <x v="0"/>
    <x v="4"/>
    <n v="2"/>
    <n v="40"/>
    <n v="80"/>
    <n v="26.83"/>
  </r>
  <r>
    <n v="1195"/>
    <s v="2025-02-04"/>
    <x v="3"/>
    <x v="2"/>
    <x v="9"/>
    <n v="6"/>
    <n v="250"/>
    <n v="1500"/>
    <n v="142.93"/>
  </r>
  <r>
    <n v="1196"/>
    <s v="2025-02-07"/>
    <x v="2"/>
    <x v="2"/>
    <x v="5"/>
    <n v="5"/>
    <n v="12"/>
    <n v="60"/>
    <n v="9.33"/>
  </r>
  <r>
    <n v="1197"/>
    <s v="2025-05-27"/>
    <x v="0"/>
    <x v="2"/>
    <x v="9"/>
    <n v="1"/>
    <n v="12"/>
    <n v="12"/>
    <n v="1.93"/>
  </r>
  <r>
    <n v="1198"/>
    <s v="2025-01-22"/>
    <x v="3"/>
    <x v="0"/>
    <x v="0"/>
    <n v="7"/>
    <n v="900"/>
    <n v="6300"/>
    <n v="1411.82"/>
  </r>
  <r>
    <n v="1199"/>
    <s v="2025-02-01"/>
    <x v="3"/>
    <x v="0"/>
    <x v="4"/>
    <n v="6"/>
    <n v="900"/>
    <n v="5400"/>
    <n v="1082.22"/>
  </r>
  <r>
    <n v="1200"/>
    <s v="2025-12-29"/>
    <x v="3"/>
    <x v="1"/>
    <x v="11"/>
    <n v="2"/>
    <n v="40"/>
    <n v="80"/>
    <n v="4.9400000000000004"/>
  </r>
  <r>
    <n v="1201"/>
    <s v="2025-07-18"/>
    <x v="3"/>
    <x v="2"/>
    <x v="10"/>
    <n v="6"/>
    <n v="250"/>
    <n v="1500"/>
    <n v="488.07"/>
  </r>
  <r>
    <n v="1202"/>
    <s v="2025-10-13"/>
    <x v="3"/>
    <x v="2"/>
    <x v="7"/>
    <n v="6"/>
    <n v="25"/>
    <n v="150"/>
    <n v="22.34"/>
  </r>
  <r>
    <n v="1203"/>
    <s v="2025-12-06"/>
    <x v="1"/>
    <x v="2"/>
    <x v="5"/>
    <n v="3"/>
    <n v="250"/>
    <n v="750"/>
    <n v="55.84"/>
  </r>
  <r>
    <n v="1204"/>
    <s v="2025-02-13"/>
    <x v="2"/>
    <x v="2"/>
    <x v="5"/>
    <n v="7"/>
    <n v="40"/>
    <n v="280"/>
    <n v="63.98"/>
  </r>
  <r>
    <n v="1205"/>
    <s v="2025-12-17"/>
    <x v="0"/>
    <x v="0"/>
    <x v="8"/>
    <n v="6"/>
    <n v="40"/>
    <n v="240"/>
    <n v="60.25"/>
  </r>
  <r>
    <n v="1206"/>
    <s v="2025-04-03"/>
    <x v="1"/>
    <x v="0"/>
    <x v="8"/>
    <n v="6"/>
    <n v="12"/>
    <n v="72"/>
    <n v="11.43"/>
  </r>
  <r>
    <n v="1207"/>
    <s v="2025-03-21"/>
    <x v="0"/>
    <x v="2"/>
    <x v="9"/>
    <n v="4"/>
    <n v="75"/>
    <n v="300"/>
    <n v="105"/>
  </r>
  <r>
    <n v="1208"/>
    <s v="2025-11-13"/>
    <x v="1"/>
    <x v="2"/>
    <x v="7"/>
    <n v="1"/>
    <n v="250"/>
    <n v="250"/>
    <n v="78.23"/>
  </r>
  <r>
    <n v="1209"/>
    <s v="2025-12-21"/>
    <x v="1"/>
    <x v="0"/>
    <x v="8"/>
    <n v="3"/>
    <n v="40"/>
    <n v="120"/>
    <n v="12.51"/>
  </r>
  <r>
    <n v="1210"/>
    <s v="2025-05-02"/>
    <x v="3"/>
    <x v="0"/>
    <x v="8"/>
    <n v="1"/>
    <n v="500"/>
    <n v="500"/>
    <n v="79.64"/>
  </r>
  <r>
    <n v="1211"/>
    <s v="2025-06-08"/>
    <x v="3"/>
    <x v="0"/>
    <x v="6"/>
    <n v="8"/>
    <n v="75"/>
    <n v="600"/>
    <n v="126.12"/>
  </r>
  <r>
    <n v="1212"/>
    <s v="2025-07-15"/>
    <x v="3"/>
    <x v="1"/>
    <x v="11"/>
    <n v="8"/>
    <n v="900"/>
    <n v="7200"/>
    <n v="2021.99"/>
  </r>
  <r>
    <n v="1213"/>
    <s v="2025-09-04"/>
    <x v="2"/>
    <x v="1"/>
    <x v="1"/>
    <n v="3"/>
    <n v="120"/>
    <n v="360"/>
    <n v="23.64"/>
  </r>
  <r>
    <n v="1214"/>
    <s v="2025-03-24"/>
    <x v="2"/>
    <x v="0"/>
    <x v="0"/>
    <n v="2"/>
    <n v="120"/>
    <n v="240"/>
    <n v="18.04"/>
  </r>
  <r>
    <n v="1215"/>
    <s v="2025-04-24"/>
    <x v="3"/>
    <x v="2"/>
    <x v="10"/>
    <n v="7"/>
    <n v="25"/>
    <n v="175"/>
    <n v="58.44"/>
  </r>
  <r>
    <n v="1216"/>
    <s v="2025-07-11"/>
    <x v="1"/>
    <x v="2"/>
    <x v="7"/>
    <n v="7"/>
    <n v="12"/>
    <n v="84"/>
    <n v="14.19"/>
  </r>
  <r>
    <n v="1217"/>
    <s v="2025-02-20"/>
    <x v="2"/>
    <x v="2"/>
    <x v="7"/>
    <n v="6"/>
    <n v="75"/>
    <n v="450"/>
    <n v="26.31"/>
  </r>
  <r>
    <n v="1218"/>
    <s v="2025-08-30"/>
    <x v="1"/>
    <x v="1"/>
    <x v="1"/>
    <n v="1"/>
    <n v="120"/>
    <n v="120"/>
    <n v="39.03"/>
  </r>
  <r>
    <n v="1219"/>
    <s v="2025-01-10"/>
    <x v="2"/>
    <x v="0"/>
    <x v="8"/>
    <n v="8"/>
    <n v="12"/>
    <n v="96"/>
    <n v="30.89"/>
  </r>
  <r>
    <n v="1220"/>
    <s v="2025-05-02"/>
    <x v="2"/>
    <x v="1"/>
    <x v="1"/>
    <n v="7"/>
    <n v="25"/>
    <n v="175"/>
    <n v="49.5"/>
  </r>
  <r>
    <n v="1221"/>
    <s v="2025-11-15"/>
    <x v="3"/>
    <x v="1"/>
    <x v="2"/>
    <n v="4"/>
    <n v="500"/>
    <n v="2000"/>
    <n v="483.37"/>
  </r>
  <r>
    <n v="1222"/>
    <s v="2025-10-22"/>
    <x v="1"/>
    <x v="1"/>
    <x v="2"/>
    <n v="8"/>
    <n v="12"/>
    <n v="96"/>
    <n v="23"/>
  </r>
  <r>
    <n v="1223"/>
    <s v="2025-06-30"/>
    <x v="1"/>
    <x v="0"/>
    <x v="4"/>
    <n v="5"/>
    <n v="500"/>
    <n v="2500"/>
    <n v="126.17"/>
  </r>
  <r>
    <n v="1224"/>
    <s v="2025-07-04"/>
    <x v="0"/>
    <x v="0"/>
    <x v="8"/>
    <n v="3"/>
    <n v="25"/>
    <n v="75"/>
    <n v="15.53"/>
  </r>
  <r>
    <n v="1225"/>
    <s v="2025-07-18"/>
    <x v="2"/>
    <x v="0"/>
    <x v="0"/>
    <n v="7"/>
    <n v="900"/>
    <n v="6300"/>
    <n v="397.28"/>
  </r>
  <r>
    <n v="1226"/>
    <s v="2025-12-03"/>
    <x v="0"/>
    <x v="2"/>
    <x v="7"/>
    <n v="6"/>
    <n v="25"/>
    <n v="150"/>
    <n v="23.02"/>
  </r>
  <r>
    <n v="1227"/>
    <s v="2025-06-23"/>
    <x v="1"/>
    <x v="0"/>
    <x v="6"/>
    <n v="3"/>
    <n v="12"/>
    <n v="36"/>
    <n v="5.6"/>
  </r>
  <r>
    <n v="1228"/>
    <s v="2025-02-02"/>
    <x v="3"/>
    <x v="0"/>
    <x v="8"/>
    <n v="8"/>
    <n v="40"/>
    <n v="320"/>
    <n v="93.9"/>
  </r>
  <r>
    <n v="1229"/>
    <s v="2025-01-22"/>
    <x v="2"/>
    <x v="1"/>
    <x v="11"/>
    <n v="4"/>
    <n v="12"/>
    <n v="48"/>
    <n v="13.79"/>
  </r>
  <r>
    <n v="1230"/>
    <s v="2025-11-28"/>
    <x v="1"/>
    <x v="2"/>
    <x v="9"/>
    <n v="8"/>
    <n v="120"/>
    <n v="960"/>
    <n v="58.55"/>
  </r>
  <r>
    <n v="1231"/>
    <s v="2025-07-08"/>
    <x v="3"/>
    <x v="2"/>
    <x v="5"/>
    <n v="1"/>
    <n v="250"/>
    <n v="250"/>
    <n v="32.99"/>
  </r>
  <r>
    <n v="1232"/>
    <s v="2025-09-12"/>
    <x v="3"/>
    <x v="2"/>
    <x v="9"/>
    <n v="7"/>
    <n v="250"/>
    <n v="1750"/>
    <n v="598.70000000000005"/>
  </r>
  <r>
    <n v="1233"/>
    <s v="2025-11-05"/>
    <x v="1"/>
    <x v="2"/>
    <x v="5"/>
    <n v="2"/>
    <n v="500"/>
    <n v="1000"/>
    <n v="73.680000000000007"/>
  </r>
  <r>
    <n v="1234"/>
    <s v="2025-12-05"/>
    <x v="2"/>
    <x v="0"/>
    <x v="6"/>
    <n v="6"/>
    <n v="25"/>
    <n v="150"/>
    <n v="11.1"/>
  </r>
  <r>
    <n v="1235"/>
    <s v="2025-06-29"/>
    <x v="3"/>
    <x v="2"/>
    <x v="9"/>
    <n v="7"/>
    <n v="40"/>
    <n v="280"/>
    <n v="71.94"/>
  </r>
  <r>
    <n v="1236"/>
    <s v="2025-01-30"/>
    <x v="0"/>
    <x v="1"/>
    <x v="11"/>
    <n v="7"/>
    <n v="120"/>
    <n v="840"/>
    <n v="203.15"/>
  </r>
  <r>
    <n v="1237"/>
    <s v="2025-03-15"/>
    <x v="3"/>
    <x v="0"/>
    <x v="8"/>
    <n v="6"/>
    <n v="40"/>
    <n v="240"/>
    <n v="80.599999999999994"/>
  </r>
  <r>
    <n v="1238"/>
    <s v="2025-07-07"/>
    <x v="2"/>
    <x v="1"/>
    <x v="1"/>
    <n v="2"/>
    <n v="75"/>
    <n v="150"/>
    <n v="42.53"/>
  </r>
  <r>
    <n v="1239"/>
    <s v="2025-07-10"/>
    <x v="3"/>
    <x v="2"/>
    <x v="7"/>
    <n v="3"/>
    <n v="900"/>
    <n v="2700"/>
    <n v="903.55"/>
  </r>
  <r>
    <n v="1240"/>
    <s v="2025-05-23"/>
    <x v="1"/>
    <x v="1"/>
    <x v="1"/>
    <n v="6"/>
    <n v="500"/>
    <n v="3000"/>
    <n v="432.95"/>
  </r>
  <r>
    <n v="1241"/>
    <s v="2025-10-15"/>
    <x v="0"/>
    <x v="1"/>
    <x v="2"/>
    <n v="3"/>
    <n v="900"/>
    <n v="2700"/>
    <n v="554.37"/>
  </r>
  <r>
    <n v="1242"/>
    <s v="2025-05-27"/>
    <x v="3"/>
    <x v="2"/>
    <x v="5"/>
    <n v="8"/>
    <n v="75"/>
    <n v="600"/>
    <n v="209.35"/>
  </r>
  <r>
    <n v="1243"/>
    <s v="2025-08-16"/>
    <x v="0"/>
    <x v="1"/>
    <x v="2"/>
    <n v="3"/>
    <n v="25"/>
    <n v="75"/>
    <n v="13.92"/>
  </r>
  <r>
    <n v="1244"/>
    <s v="2025-05-29"/>
    <x v="2"/>
    <x v="0"/>
    <x v="6"/>
    <n v="6"/>
    <n v="25"/>
    <n v="150"/>
    <n v="32.25"/>
  </r>
  <r>
    <n v="1245"/>
    <s v="2025-04-13"/>
    <x v="1"/>
    <x v="1"/>
    <x v="1"/>
    <n v="6"/>
    <n v="75"/>
    <n v="450"/>
    <n v="38.880000000000003"/>
  </r>
  <r>
    <n v="1246"/>
    <s v="2025-07-08"/>
    <x v="3"/>
    <x v="1"/>
    <x v="3"/>
    <n v="1"/>
    <n v="250"/>
    <n v="250"/>
    <n v="54.05"/>
  </r>
  <r>
    <n v="1247"/>
    <s v="2025-09-03"/>
    <x v="3"/>
    <x v="0"/>
    <x v="4"/>
    <n v="2"/>
    <n v="25"/>
    <n v="50"/>
    <n v="7.14"/>
  </r>
  <r>
    <n v="1248"/>
    <s v="2025-08-19"/>
    <x v="3"/>
    <x v="2"/>
    <x v="7"/>
    <n v="3"/>
    <n v="250"/>
    <n v="750"/>
    <n v="182.03"/>
  </r>
  <r>
    <n v="1249"/>
    <s v="2025-03-08"/>
    <x v="3"/>
    <x v="0"/>
    <x v="6"/>
    <n v="3"/>
    <n v="40"/>
    <n v="120"/>
    <n v="33.64"/>
  </r>
  <r>
    <n v="1250"/>
    <s v="2025-03-24"/>
    <x v="2"/>
    <x v="0"/>
    <x v="0"/>
    <n v="2"/>
    <n v="40"/>
    <n v="80"/>
    <n v="11.3"/>
  </r>
  <r>
    <n v="1251"/>
    <s v="2025-05-09"/>
    <x v="1"/>
    <x v="0"/>
    <x v="4"/>
    <n v="6"/>
    <n v="120"/>
    <n v="720"/>
    <n v="218.72"/>
  </r>
  <r>
    <n v="1252"/>
    <s v="2025-02-17"/>
    <x v="1"/>
    <x v="0"/>
    <x v="6"/>
    <n v="3"/>
    <n v="120"/>
    <n v="360"/>
    <n v="84.36"/>
  </r>
  <r>
    <n v="1253"/>
    <s v="2025-10-16"/>
    <x v="0"/>
    <x v="0"/>
    <x v="4"/>
    <n v="3"/>
    <n v="250"/>
    <n v="750"/>
    <n v="227.07"/>
  </r>
  <r>
    <n v="1254"/>
    <s v="2025-10-20"/>
    <x v="3"/>
    <x v="1"/>
    <x v="2"/>
    <n v="1"/>
    <n v="120"/>
    <n v="120"/>
    <n v="29.44"/>
  </r>
  <r>
    <n v="1255"/>
    <s v="2025-06-04"/>
    <x v="3"/>
    <x v="0"/>
    <x v="0"/>
    <n v="8"/>
    <n v="120"/>
    <n v="960"/>
    <n v="232.87"/>
  </r>
  <r>
    <n v="1256"/>
    <s v="2025-01-31"/>
    <x v="1"/>
    <x v="1"/>
    <x v="3"/>
    <n v="5"/>
    <n v="900"/>
    <n v="4500"/>
    <n v="323.51"/>
  </r>
  <r>
    <n v="1257"/>
    <s v="2025-11-07"/>
    <x v="1"/>
    <x v="2"/>
    <x v="9"/>
    <n v="8"/>
    <n v="900"/>
    <n v="7200"/>
    <n v="800.69"/>
  </r>
  <r>
    <n v="1258"/>
    <s v="2025-07-09"/>
    <x v="0"/>
    <x v="2"/>
    <x v="5"/>
    <n v="6"/>
    <n v="500"/>
    <n v="3000"/>
    <n v="267.69"/>
  </r>
  <r>
    <n v="1259"/>
    <s v="2025-05-07"/>
    <x v="1"/>
    <x v="2"/>
    <x v="10"/>
    <n v="8"/>
    <n v="25"/>
    <n v="200"/>
    <n v="26.05"/>
  </r>
  <r>
    <n v="1260"/>
    <s v="2025-08-03"/>
    <x v="1"/>
    <x v="1"/>
    <x v="2"/>
    <n v="5"/>
    <n v="500"/>
    <n v="2500"/>
    <n v="773.12"/>
  </r>
  <r>
    <n v="1261"/>
    <s v="2025-09-13"/>
    <x v="3"/>
    <x v="1"/>
    <x v="11"/>
    <n v="6"/>
    <n v="75"/>
    <n v="450"/>
    <n v="125.52"/>
  </r>
  <r>
    <n v="1262"/>
    <s v="2025-07-21"/>
    <x v="3"/>
    <x v="2"/>
    <x v="5"/>
    <n v="8"/>
    <n v="12"/>
    <n v="96"/>
    <n v="7.39"/>
  </r>
  <r>
    <n v="1263"/>
    <s v="2025-09-11"/>
    <x v="3"/>
    <x v="1"/>
    <x v="1"/>
    <n v="6"/>
    <n v="12"/>
    <n v="72"/>
    <n v="4.6900000000000004"/>
  </r>
  <r>
    <n v="1264"/>
    <s v="2025-05-16"/>
    <x v="2"/>
    <x v="2"/>
    <x v="7"/>
    <n v="2"/>
    <n v="500"/>
    <n v="1000"/>
    <n v="90.18"/>
  </r>
  <r>
    <n v="1265"/>
    <s v="2025-10-15"/>
    <x v="1"/>
    <x v="2"/>
    <x v="5"/>
    <n v="1"/>
    <n v="500"/>
    <n v="500"/>
    <n v="32.67"/>
  </r>
  <r>
    <n v="1266"/>
    <s v="2025-10-09"/>
    <x v="2"/>
    <x v="2"/>
    <x v="5"/>
    <n v="2"/>
    <n v="500"/>
    <n v="1000"/>
    <n v="201.28"/>
  </r>
  <r>
    <n v="1267"/>
    <s v="2025-06-23"/>
    <x v="2"/>
    <x v="0"/>
    <x v="0"/>
    <n v="3"/>
    <n v="25"/>
    <n v="75"/>
    <n v="12.61"/>
  </r>
  <r>
    <n v="1268"/>
    <s v="2025-03-12"/>
    <x v="2"/>
    <x v="1"/>
    <x v="1"/>
    <n v="7"/>
    <n v="12"/>
    <n v="84"/>
    <n v="5.34"/>
  </r>
  <r>
    <n v="1269"/>
    <s v="2025-11-10"/>
    <x v="2"/>
    <x v="2"/>
    <x v="9"/>
    <n v="3"/>
    <n v="40"/>
    <n v="120"/>
    <n v="17.809999999999999"/>
  </r>
  <r>
    <n v="1270"/>
    <s v="2025-09-18"/>
    <x v="3"/>
    <x v="1"/>
    <x v="3"/>
    <n v="5"/>
    <n v="250"/>
    <n v="1250"/>
    <n v="252.74"/>
  </r>
  <r>
    <n v="1271"/>
    <s v="2025-12-11"/>
    <x v="0"/>
    <x v="0"/>
    <x v="6"/>
    <n v="8"/>
    <n v="12"/>
    <n v="96"/>
    <n v="15.41"/>
  </r>
  <r>
    <n v="1272"/>
    <s v="2025-12-02"/>
    <x v="1"/>
    <x v="2"/>
    <x v="5"/>
    <n v="1"/>
    <n v="900"/>
    <n v="900"/>
    <n v="116.69"/>
  </r>
  <r>
    <n v="1273"/>
    <s v="2025-11-14"/>
    <x v="3"/>
    <x v="0"/>
    <x v="0"/>
    <n v="8"/>
    <n v="40"/>
    <n v="320"/>
    <n v="66.33"/>
  </r>
  <r>
    <n v="1274"/>
    <s v="2025-08-14"/>
    <x v="2"/>
    <x v="1"/>
    <x v="1"/>
    <n v="1"/>
    <n v="25"/>
    <n v="25"/>
    <n v="2.68"/>
  </r>
  <r>
    <n v="1275"/>
    <s v="2025-11-10"/>
    <x v="3"/>
    <x v="2"/>
    <x v="10"/>
    <n v="7"/>
    <n v="75"/>
    <n v="525"/>
    <n v="90.88"/>
  </r>
  <r>
    <n v="1276"/>
    <s v="2025-12-06"/>
    <x v="3"/>
    <x v="0"/>
    <x v="0"/>
    <n v="3"/>
    <n v="75"/>
    <n v="225"/>
    <n v="49.11"/>
  </r>
  <r>
    <n v="1277"/>
    <s v="2025-09-30"/>
    <x v="2"/>
    <x v="0"/>
    <x v="8"/>
    <n v="6"/>
    <n v="40"/>
    <n v="240"/>
    <n v="45.1"/>
  </r>
  <r>
    <n v="1278"/>
    <s v="2025-05-07"/>
    <x v="2"/>
    <x v="0"/>
    <x v="6"/>
    <n v="5"/>
    <n v="900"/>
    <n v="4500"/>
    <n v="484.56"/>
  </r>
  <r>
    <n v="1279"/>
    <s v="2025-12-27"/>
    <x v="1"/>
    <x v="0"/>
    <x v="6"/>
    <n v="4"/>
    <n v="120"/>
    <n v="480"/>
    <n v="135.05000000000001"/>
  </r>
  <r>
    <n v="1280"/>
    <s v="2025-05-21"/>
    <x v="2"/>
    <x v="0"/>
    <x v="8"/>
    <n v="6"/>
    <n v="900"/>
    <n v="5400"/>
    <n v="835.06"/>
  </r>
  <r>
    <n v="1281"/>
    <s v="2025-03-16"/>
    <x v="2"/>
    <x v="1"/>
    <x v="3"/>
    <n v="7"/>
    <n v="250"/>
    <n v="1750"/>
    <n v="588.66999999999996"/>
  </r>
  <r>
    <n v="1282"/>
    <s v="2025-12-02"/>
    <x v="2"/>
    <x v="1"/>
    <x v="11"/>
    <n v="2"/>
    <n v="250"/>
    <n v="500"/>
    <n v="163.6"/>
  </r>
  <r>
    <n v="1283"/>
    <s v="2025-05-19"/>
    <x v="2"/>
    <x v="0"/>
    <x v="8"/>
    <n v="4"/>
    <n v="75"/>
    <n v="300"/>
    <n v="89.52"/>
  </r>
  <r>
    <n v="1284"/>
    <s v="2025-09-29"/>
    <x v="1"/>
    <x v="1"/>
    <x v="2"/>
    <n v="4"/>
    <n v="75"/>
    <n v="300"/>
    <n v="19.57"/>
  </r>
  <r>
    <n v="1285"/>
    <s v="2025-08-30"/>
    <x v="0"/>
    <x v="0"/>
    <x v="4"/>
    <n v="1"/>
    <n v="25"/>
    <n v="25"/>
    <n v="4.3499999999999996"/>
  </r>
  <r>
    <n v="1286"/>
    <s v="2025-09-01"/>
    <x v="3"/>
    <x v="0"/>
    <x v="4"/>
    <n v="1"/>
    <n v="40"/>
    <n v="40"/>
    <n v="6.88"/>
  </r>
  <r>
    <n v="1287"/>
    <s v="2025-01-31"/>
    <x v="0"/>
    <x v="0"/>
    <x v="4"/>
    <n v="5"/>
    <n v="250"/>
    <n v="1250"/>
    <n v="169.53"/>
  </r>
  <r>
    <n v="1288"/>
    <s v="2025-04-01"/>
    <x v="0"/>
    <x v="0"/>
    <x v="4"/>
    <n v="1"/>
    <n v="40"/>
    <n v="40"/>
    <n v="7.01"/>
  </r>
  <r>
    <n v="1289"/>
    <s v="2025-01-05"/>
    <x v="2"/>
    <x v="2"/>
    <x v="9"/>
    <n v="3"/>
    <n v="120"/>
    <n v="360"/>
    <n v="112.69"/>
  </r>
  <r>
    <n v="1290"/>
    <s v="2025-11-25"/>
    <x v="3"/>
    <x v="0"/>
    <x v="0"/>
    <n v="6"/>
    <n v="120"/>
    <n v="720"/>
    <n v="134.13999999999999"/>
  </r>
  <r>
    <n v="1291"/>
    <s v="2025-06-19"/>
    <x v="1"/>
    <x v="1"/>
    <x v="3"/>
    <n v="5"/>
    <n v="75"/>
    <n v="375"/>
    <n v="109.74"/>
  </r>
  <r>
    <n v="1292"/>
    <s v="2025-06-22"/>
    <x v="2"/>
    <x v="0"/>
    <x v="8"/>
    <n v="5"/>
    <n v="40"/>
    <n v="200"/>
    <n v="10.85"/>
  </r>
  <r>
    <n v="1293"/>
    <s v="2025-09-21"/>
    <x v="2"/>
    <x v="0"/>
    <x v="4"/>
    <n v="3"/>
    <n v="500"/>
    <n v="1500"/>
    <n v="447.15"/>
  </r>
  <r>
    <n v="1294"/>
    <s v="2025-09-02"/>
    <x v="2"/>
    <x v="1"/>
    <x v="3"/>
    <n v="2"/>
    <n v="40"/>
    <n v="80"/>
    <n v="27.56"/>
  </r>
  <r>
    <n v="1295"/>
    <s v="2025-05-17"/>
    <x v="2"/>
    <x v="1"/>
    <x v="2"/>
    <n v="5"/>
    <n v="500"/>
    <n v="2500"/>
    <n v="301.64"/>
  </r>
  <r>
    <n v="1296"/>
    <s v="2025-02-01"/>
    <x v="0"/>
    <x v="2"/>
    <x v="7"/>
    <n v="5"/>
    <n v="250"/>
    <n v="1250"/>
    <n v="322.29000000000002"/>
  </r>
  <r>
    <n v="1297"/>
    <s v="2025-12-27"/>
    <x v="2"/>
    <x v="2"/>
    <x v="5"/>
    <n v="3"/>
    <n v="500"/>
    <n v="1500"/>
    <n v="383.73"/>
  </r>
  <r>
    <n v="1298"/>
    <s v="2025-04-23"/>
    <x v="1"/>
    <x v="0"/>
    <x v="0"/>
    <n v="5"/>
    <n v="250"/>
    <n v="1250"/>
    <n v="292.98"/>
  </r>
  <r>
    <n v="1299"/>
    <s v="2025-10-09"/>
    <x v="3"/>
    <x v="2"/>
    <x v="10"/>
    <n v="8"/>
    <n v="250"/>
    <n v="2000"/>
    <n v="349.51"/>
  </r>
  <r>
    <n v="1300"/>
    <s v="2025-09-28"/>
    <x v="2"/>
    <x v="0"/>
    <x v="4"/>
    <n v="4"/>
    <n v="25"/>
    <n v="100"/>
    <n v="20.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7EBC1-6633-EA49-9D87-4A1936D7AE7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3" firstHeaderRow="0" firstDataRow="1" firstDataCol="0"/>
  <pivotFields count="9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13">
        <item x="6"/>
        <item x="5"/>
        <item x="9"/>
        <item x="10"/>
        <item x="7"/>
        <item x="11"/>
        <item x="2"/>
        <item x="1"/>
        <item x="3"/>
        <item x="0"/>
        <item x="4"/>
        <item x="8"/>
        <item t="default"/>
      </items>
    </pivotField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8" baseField="0" baseItem="0"/>
  </dataFields>
  <formats count="2"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FD791-C3E2-5F41-8ED9-FCBCFEC24D2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6" firstHeaderRow="1" firstDataRow="1" firstDataCol="1"/>
  <pivotFields count="9"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Profit" fld="8" baseField="0" baseItem="0"/>
  </dataFields>
  <formats count="2">
    <format dxfId="8">
      <pivotArea field="3" type="button" dataOnly="0" labelOnly="1" outline="0" axis="axisRow" fieldPosition="0"/>
    </format>
    <format dxfId="7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2D00D-4B19-094B-BE43-1C89284B47A0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5" firstHeaderRow="1" firstDataRow="1" firstDataCol="1"/>
  <pivotFields count="9">
    <pivotField showAll="0"/>
    <pivotField showAll="0"/>
    <pivotField showAll="0"/>
    <pivotField showAll="0"/>
    <pivotField axis="axisRow" showAll="0" sortType="descending">
      <items count="13">
        <item x="6"/>
        <item x="5"/>
        <item x="9"/>
        <item x="10"/>
        <item x="7"/>
        <item x="11"/>
        <item x="2"/>
        <item x="1"/>
        <item x="3"/>
        <item x="0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4"/>
  </rowFields>
  <rowItems count="13">
    <i>
      <x v="10"/>
    </i>
    <i>
      <x v="11"/>
    </i>
    <i>
      <x v="9"/>
    </i>
    <i>
      <x v="2"/>
    </i>
    <i>
      <x v="3"/>
    </i>
    <i>
      <x v="5"/>
    </i>
    <i>
      <x v="1"/>
    </i>
    <i>
      <x v="4"/>
    </i>
    <i>
      <x v="7"/>
    </i>
    <i>
      <x v="8"/>
    </i>
    <i>
      <x v="6"/>
    </i>
    <i>
      <x/>
    </i>
    <i t="grand">
      <x/>
    </i>
  </rowItems>
  <colItems count="1">
    <i/>
  </colItems>
  <dataFields count="1">
    <dataField name="Sum of Profit" fld="8" baseField="0" baseItem="0"/>
  </dataFields>
  <formats count="2">
    <format dxfId="5">
      <pivotArea field="4" type="button" dataOnly="0" labelOnly="1" outline="0" axis="axisRow" fieldPosition="0"/>
    </format>
    <format dxfId="4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2711F-01D7-FC4C-A32A-4D17B6997FEA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7" firstHeaderRow="1" firstDataRow="1" firstDataCol="1"/>
  <pivotFields count="9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formats count="2">
    <format dxfId="2">
      <pivotArea field="2" type="button" dataOnly="0" labelOnly="1" outline="0" axis="axisRow" fieldPosition="0"/>
    </format>
    <format dxfId="1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02"/>
  <sheetViews>
    <sheetView showGridLines="0" topLeftCell="B42" workbookViewId="0">
      <selection activeCell="F13" sqref="F13"/>
    </sheetView>
  </sheetViews>
  <sheetFormatPr baseColWidth="10" defaultColWidth="8.33203125" defaultRowHeight="20" customHeight="1" x14ac:dyDescent="0.15"/>
  <cols>
    <col min="1" max="1" width="7.83203125" style="1" customWidth="1"/>
    <col min="2" max="2" width="10.1640625" style="1" customWidth="1"/>
    <col min="3" max="3" width="7.1640625" style="1" customWidth="1"/>
    <col min="4" max="4" width="12.83203125" style="1" customWidth="1"/>
    <col min="5" max="5" width="11.33203125" style="1" customWidth="1"/>
    <col min="6" max="6" width="8.1640625" style="1" customWidth="1"/>
    <col min="7" max="7" width="8.83203125" style="1" customWidth="1"/>
    <col min="8" max="8" width="5.83203125" style="1" customWidth="1"/>
    <col min="9" max="9" width="7.5" style="1" customWidth="1"/>
    <col min="10" max="10" width="8.33203125" style="1" customWidth="1"/>
    <col min="11" max="16384" width="8.33203125" style="1"/>
  </cols>
  <sheetData>
    <row r="1" spans="1:9" ht="27.75" customHeight="1" x14ac:dyDescent="0.15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20.25" customHeight="1" x14ac:dyDescent="0.15">
      <c r="A2" s="49" t="s">
        <v>1</v>
      </c>
      <c r="B2" s="49" t="s">
        <v>2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</row>
    <row r="3" spans="1:9" ht="20.25" customHeight="1" x14ac:dyDescent="0.15">
      <c r="A3" s="50">
        <v>1001</v>
      </c>
      <c r="B3" s="2" t="s">
        <v>10</v>
      </c>
      <c r="C3" s="3" t="s">
        <v>11</v>
      </c>
      <c r="D3" s="3" t="s">
        <v>12</v>
      </c>
      <c r="E3" s="3" t="s">
        <v>13</v>
      </c>
      <c r="F3" s="4">
        <v>1</v>
      </c>
      <c r="G3" s="4">
        <v>120</v>
      </c>
      <c r="H3" s="4">
        <v>120</v>
      </c>
      <c r="I3" s="4">
        <v>14.82</v>
      </c>
    </row>
    <row r="4" spans="1:9" ht="20" customHeight="1" x14ac:dyDescent="0.15">
      <c r="A4" s="51">
        <v>1002</v>
      </c>
      <c r="B4" s="5" t="s">
        <v>14</v>
      </c>
      <c r="C4" s="6" t="s">
        <v>15</v>
      </c>
      <c r="D4" s="6" t="s">
        <v>12</v>
      </c>
      <c r="E4" s="6" t="s">
        <v>13</v>
      </c>
      <c r="F4" s="7">
        <v>7</v>
      </c>
      <c r="G4" s="7">
        <v>12</v>
      </c>
      <c r="H4" s="7">
        <v>84</v>
      </c>
      <c r="I4" s="7">
        <v>4.95</v>
      </c>
    </row>
    <row r="5" spans="1:9" ht="20" customHeight="1" x14ac:dyDescent="0.15">
      <c r="A5" s="51">
        <v>1003</v>
      </c>
      <c r="B5" s="5" t="s">
        <v>16</v>
      </c>
      <c r="C5" s="6" t="s">
        <v>17</v>
      </c>
      <c r="D5" s="6" t="s">
        <v>12</v>
      </c>
      <c r="E5" s="6" t="s">
        <v>13</v>
      </c>
      <c r="F5" s="7">
        <v>4</v>
      </c>
      <c r="G5" s="7">
        <v>500</v>
      </c>
      <c r="H5" s="7">
        <v>2000</v>
      </c>
      <c r="I5" s="7">
        <v>232.26</v>
      </c>
    </row>
    <row r="6" spans="1:9" ht="20" customHeight="1" x14ac:dyDescent="0.15">
      <c r="A6" s="51">
        <v>1004</v>
      </c>
      <c r="B6" s="5" t="s">
        <v>18</v>
      </c>
      <c r="C6" s="6" t="s">
        <v>17</v>
      </c>
      <c r="D6" s="6" t="s">
        <v>19</v>
      </c>
      <c r="E6" s="6" t="s">
        <v>20</v>
      </c>
      <c r="F6" s="7">
        <v>7</v>
      </c>
      <c r="G6" s="7">
        <v>250</v>
      </c>
      <c r="H6" s="7">
        <v>1750</v>
      </c>
      <c r="I6" s="7">
        <v>233.38</v>
      </c>
    </row>
    <row r="7" spans="1:9" ht="20" customHeight="1" x14ac:dyDescent="0.15">
      <c r="A7" s="51">
        <v>1005</v>
      </c>
      <c r="B7" s="5" t="s">
        <v>21</v>
      </c>
      <c r="C7" s="6" t="s">
        <v>17</v>
      </c>
      <c r="D7" s="6" t="s">
        <v>19</v>
      </c>
      <c r="E7" s="6" t="s">
        <v>22</v>
      </c>
      <c r="F7" s="7">
        <v>7</v>
      </c>
      <c r="G7" s="7">
        <v>25</v>
      </c>
      <c r="H7" s="7">
        <v>175</v>
      </c>
      <c r="I7" s="7">
        <v>27.6</v>
      </c>
    </row>
    <row r="8" spans="1:9" ht="20" customHeight="1" x14ac:dyDescent="0.15">
      <c r="A8" s="51">
        <v>1006</v>
      </c>
      <c r="B8" s="5" t="s">
        <v>23</v>
      </c>
      <c r="C8" s="6" t="s">
        <v>17</v>
      </c>
      <c r="D8" s="6" t="s">
        <v>19</v>
      </c>
      <c r="E8" s="6" t="s">
        <v>24</v>
      </c>
      <c r="F8" s="7">
        <v>2</v>
      </c>
      <c r="G8" s="7">
        <v>500</v>
      </c>
      <c r="H8" s="7">
        <v>1000</v>
      </c>
      <c r="I8" s="7">
        <v>73.64</v>
      </c>
    </row>
    <row r="9" spans="1:9" ht="20" customHeight="1" x14ac:dyDescent="0.15">
      <c r="A9" s="51">
        <v>1007</v>
      </c>
      <c r="B9" s="5" t="s">
        <v>25</v>
      </c>
      <c r="C9" s="6" t="s">
        <v>11</v>
      </c>
      <c r="D9" s="6" t="s">
        <v>12</v>
      </c>
      <c r="E9" s="6" t="s">
        <v>26</v>
      </c>
      <c r="F9" s="7">
        <v>2</v>
      </c>
      <c r="G9" s="7">
        <v>12</v>
      </c>
      <c r="H9" s="7">
        <v>24</v>
      </c>
      <c r="I9" s="7">
        <v>5.96</v>
      </c>
    </row>
    <row r="10" spans="1:9" ht="20" customHeight="1" x14ac:dyDescent="0.15">
      <c r="A10" s="51">
        <v>1008</v>
      </c>
      <c r="B10" s="5" t="s">
        <v>27</v>
      </c>
      <c r="C10" s="6" t="s">
        <v>15</v>
      </c>
      <c r="D10" s="6" t="s">
        <v>19</v>
      </c>
      <c r="E10" s="6" t="s">
        <v>22</v>
      </c>
      <c r="F10" s="7">
        <v>7</v>
      </c>
      <c r="G10" s="7">
        <v>120</v>
      </c>
      <c r="H10" s="7">
        <v>840</v>
      </c>
      <c r="I10" s="7">
        <v>156.26</v>
      </c>
    </row>
    <row r="11" spans="1:9" ht="20" customHeight="1" x14ac:dyDescent="0.15">
      <c r="A11" s="51">
        <v>1009</v>
      </c>
      <c r="B11" s="5" t="s">
        <v>28</v>
      </c>
      <c r="C11" s="6" t="s">
        <v>11</v>
      </c>
      <c r="D11" s="6" t="s">
        <v>29</v>
      </c>
      <c r="E11" s="6" t="s">
        <v>30</v>
      </c>
      <c r="F11" s="7">
        <v>4</v>
      </c>
      <c r="G11" s="7">
        <v>120</v>
      </c>
      <c r="H11" s="7">
        <v>480</v>
      </c>
      <c r="I11" s="7">
        <v>125.06</v>
      </c>
    </row>
    <row r="12" spans="1:9" ht="20" customHeight="1" x14ac:dyDescent="0.15">
      <c r="A12" s="51">
        <v>1010</v>
      </c>
      <c r="B12" s="5" t="s">
        <v>31</v>
      </c>
      <c r="C12" s="6" t="s">
        <v>15</v>
      </c>
      <c r="D12" s="6" t="s">
        <v>12</v>
      </c>
      <c r="E12" s="6" t="s">
        <v>26</v>
      </c>
      <c r="F12" s="7">
        <v>4</v>
      </c>
      <c r="G12" s="7">
        <v>40</v>
      </c>
      <c r="H12" s="7">
        <v>160</v>
      </c>
      <c r="I12" s="7">
        <v>30.19</v>
      </c>
    </row>
    <row r="13" spans="1:9" ht="20" customHeight="1" x14ac:dyDescent="0.15">
      <c r="A13" s="51">
        <v>1011</v>
      </c>
      <c r="B13" s="5" t="s">
        <v>32</v>
      </c>
      <c r="C13" s="6" t="s">
        <v>33</v>
      </c>
      <c r="D13" s="6" t="s">
        <v>12</v>
      </c>
      <c r="E13" s="6" t="s">
        <v>34</v>
      </c>
      <c r="F13" s="7">
        <v>1</v>
      </c>
      <c r="G13" s="7">
        <v>75</v>
      </c>
      <c r="H13" s="7">
        <v>75</v>
      </c>
      <c r="I13" s="7">
        <v>22.24</v>
      </c>
    </row>
    <row r="14" spans="1:9" ht="20" customHeight="1" x14ac:dyDescent="0.15">
      <c r="A14" s="51">
        <v>1012</v>
      </c>
      <c r="B14" s="5" t="s">
        <v>35</v>
      </c>
      <c r="C14" s="6" t="s">
        <v>33</v>
      </c>
      <c r="D14" s="6" t="s">
        <v>29</v>
      </c>
      <c r="E14" s="6" t="s">
        <v>36</v>
      </c>
      <c r="F14" s="7">
        <v>4</v>
      </c>
      <c r="G14" s="7">
        <v>250</v>
      </c>
      <c r="H14" s="7">
        <v>1000</v>
      </c>
      <c r="I14" s="7">
        <v>113.79</v>
      </c>
    </row>
    <row r="15" spans="1:9" ht="20" customHeight="1" x14ac:dyDescent="0.15">
      <c r="A15" s="51">
        <v>1013</v>
      </c>
      <c r="B15" s="5" t="s">
        <v>37</v>
      </c>
      <c r="C15" s="6" t="s">
        <v>17</v>
      </c>
      <c r="D15" s="6" t="s">
        <v>12</v>
      </c>
      <c r="E15" s="6" t="s">
        <v>38</v>
      </c>
      <c r="F15" s="7">
        <v>3</v>
      </c>
      <c r="G15" s="7">
        <v>120</v>
      </c>
      <c r="H15" s="7">
        <v>360</v>
      </c>
      <c r="I15" s="7">
        <v>33.08</v>
      </c>
    </row>
    <row r="16" spans="1:9" ht="20" customHeight="1" x14ac:dyDescent="0.15">
      <c r="A16" s="51">
        <v>1014</v>
      </c>
      <c r="B16" s="5" t="s">
        <v>39</v>
      </c>
      <c r="C16" s="6" t="s">
        <v>33</v>
      </c>
      <c r="D16" s="6" t="s">
        <v>12</v>
      </c>
      <c r="E16" s="6" t="s">
        <v>38</v>
      </c>
      <c r="F16" s="7">
        <v>7</v>
      </c>
      <c r="G16" s="7">
        <v>250</v>
      </c>
      <c r="H16" s="7">
        <v>1750</v>
      </c>
      <c r="I16" s="7">
        <v>202.64</v>
      </c>
    </row>
    <row r="17" spans="1:9" ht="20" customHeight="1" x14ac:dyDescent="0.15">
      <c r="A17" s="51">
        <v>1015</v>
      </c>
      <c r="B17" s="5" t="s">
        <v>40</v>
      </c>
      <c r="C17" s="6" t="s">
        <v>33</v>
      </c>
      <c r="D17" s="6" t="s">
        <v>19</v>
      </c>
      <c r="E17" s="6" t="s">
        <v>22</v>
      </c>
      <c r="F17" s="7">
        <v>2</v>
      </c>
      <c r="G17" s="7">
        <v>40</v>
      </c>
      <c r="H17" s="7">
        <v>80</v>
      </c>
      <c r="I17" s="7">
        <v>19.059999999999999</v>
      </c>
    </row>
    <row r="18" spans="1:9" ht="20" customHeight="1" x14ac:dyDescent="0.15">
      <c r="A18" s="51">
        <v>1016</v>
      </c>
      <c r="B18" s="5" t="s">
        <v>41</v>
      </c>
      <c r="C18" s="6" t="s">
        <v>17</v>
      </c>
      <c r="D18" s="6" t="s">
        <v>12</v>
      </c>
      <c r="E18" s="6" t="s">
        <v>13</v>
      </c>
      <c r="F18" s="7">
        <v>7</v>
      </c>
      <c r="G18" s="7">
        <v>500</v>
      </c>
      <c r="H18" s="7">
        <v>3500</v>
      </c>
      <c r="I18" s="7">
        <v>800.68</v>
      </c>
    </row>
    <row r="19" spans="1:9" ht="20" customHeight="1" x14ac:dyDescent="0.15">
      <c r="A19" s="51">
        <v>1017</v>
      </c>
      <c r="B19" s="5" t="s">
        <v>42</v>
      </c>
      <c r="C19" s="6" t="s">
        <v>11</v>
      </c>
      <c r="D19" s="6" t="s">
        <v>12</v>
      </c>
      <c r="E19" s="6" t="s">
        <v>13</v>
      </c>
      <c r="F19" s="7">
        <v>2</v>
      </c>
      <c r="G19" s="7">
        <v>120</v>
      </c>
      <c r="H19" s="7">
        <v>240</v>
      </c>
      <c r="I19" s="7">
        <v>67.34</v>
      </c>
    </row>
    <row r="20" spans="1:9" ht="20" customHeight="1" x14ac:dyDescent="0.15">
      <c r="A20" s="51">
        <v>1018</v>
      </c>
      <c r="B20" s="5" t="s">
        <v>43</v>
      </c>
      <c r="C20" s="6" t="s">
        <v>15</v>
      </c>
      <c r="D20" s="6" t="s">
        <v>29</v>
      </c>
      <c r="E20" s="6" t="s">
        <v>44</v>
      </c>
      <c r="F20" s="7">
        <v>3</v>
      </c>
      <c r="G20" s="7">
        <v>900</v>
      </c>
      <c r="H20" s="7">
        <v>2700</v>
      </c>
      <c r="I20" s="7">
        <v>137.63</v>
      </c>
    </row>
    <row r="21" spans="1:9" ht="20" customHeight="1" x14ac:dyDescent="0.15">
      <c r="A21" s="51">
        <v>1019</v>
      </c>
      <c r="B21" s="5" t="s">
        <v>45</v>
      </c>
      <c r="C21" s="6" t="s">
        <v>11</v>
      </c>
      <c r="D21" s="6" t="s">
        <v>12</v>
      </c>
      <c r="E21" s="6" t="s">
        <v>13</v>
      </c>
      <c r="F21" s="7">
        <v>5</v>
      </c>
      <c r="G21" s="7">
        <v>75</v>
      </c>
      <c r="H21" s="7">
        <v>375</v>
      </c>
      <c r="I21" s="7">
        <v>35.94</v>
      </c>
    </row>
    <row r="22" spans="1:9" ht="20" customHeight="1" x14ac:dyDescent="0.15">
      <c r="A22" s="51">
        <v>1020</v>
      </c>
      <c r="B22" s="5" t="s">
        <v>46</v>
      </c>
      <c r="C22" s="6" t="s">
        <v>17</v>
      </c>
      <c r="D22" s="6" t="s">
        <v>12</v>
      </c>
      <c r="E22" s="6" t="s">
        <v>34</v>
      </c>
      <c r="F22" s="7">
        <v>8</v>
      </c>
      <c r="G22" s="7">
        <v>12</v>
      </c>
      <c r="H22" s="7">
        <v>96</v>
      </c>
      <c r="I22" s="7">
        <v>8.02</v>
      </c>
    </row>
    <row r="23" spans="1:9" ht="20" customHeight="1" x14ac:dyDescent="0.15">
      <c r="A23" s="51">
        <v>1021</v>
      </c>
      <c r="B23" s="5" t="s">
        <v>47</v>
      </c>
      <c r="C23" s="6" t="s">
        <v>11</v>
      </c>
      <c r="D23" s="6" t="s">
        <v>19</v>
      </c>
      <c r="E23" s="6" t="s">
        <v>22</v>
      </c>
      <c r="F23" s="7">
        <v>4</v>
      </c>
      <c r="G23" s="7">
        <v>25</v>
      </c>
      <c r="H23" s="7">
        <v>100</v>
      </c>
      <c r="I23" s="7">
        <v>7.57</v>
      </c>
    </row>
    <row r="24" spans="1:9" ht="20" customHeight="1" x14ac:dyDescent="0.15">
      <c r="A24" s="51">
        <v>1022</v>
      </c>
      <c r="B24" s="5" t="s">
        <v>48</v>
      </c>
      <c r="C24" s="6" t="s">
        <v>17</v>
      </c>
      <c r="D24" s="6" t="s">
        <v>12</v>
      </c>
      <c r="E24" s="6" t="s">
        <v>26</v>
      </c>
      <c r="F24" s="7">
        <v>3</v>
      </c>
      <c r="G24" s="7">
        <v>900</v>
      </c>
      <c r="H24" s="7">
        <v>2700</v>
      </c>
      <c r="I24" s="7">
        <v>901.95</v>
      </c>
    </row>
    <row r="25" spans="1:9" ht="20" customHeight="1" x14ac:dyDescent="0.15">
      <c r="A25" s="51">
        <v>1023</v>
      </c>
      <c r="B25" s="5" t="s">
        <v>49</v>
      </c>
      <c r="C25" s="6" t="s">
        <v>17</v>
      </c>
      <c r="D25" s="6" t="s">
        <v>12</v>
      </c>
      <c r="E25" s="6" t="s">
        <v>38</v>
      </c>
      <c r="F25" s="7">
        <v>4</v>
      </c>
      <c r="G25" s="7">
        <v>75</v>
      </c>
      <c r="H25" s="7">
        <v>300</v>
      </c>
      <c r="I25" s="7">
        <v>79.17</v>
      </c>
    </row>
    <row r="26" spans="1:9" ht="20" customHeight="1" x14ac:dyDescent="0.15">
      <c r="A26" s="51">
        <v>1024</v>
      </c>
      <c r="B26" s="5" t="s">
        <v>50</v>
      </c>
      <c r="C26" s="6" t="s">
        <v>11</v>
      </c>
      <c r="D26" s="6" t="s">
        <v>29</v>
      </c>
      <c r="E26" s="6" t="s">
        <v>44</v>
      </c>
      <c r="F26" s="7">
        <v>2</v>
      </c>
      <c r="G26" s="7">
        <v>75</v>
      </c>
      <c r="H26" s="7">
        <v>150</v>
      </c>
      <c r="I26" s="7">
        <v>17.61</v>
      </c>
    </row>
    <row r="27" spans="1:9" ht="20" customHeight="1" x14ac:dyDescent="0.15">
      <c r="A27" s="51">
        <v>1025</v>
      </c>
      <c r="B27" s="5" t="s">
        <v>51</v>
      </c>
      <c r="C27" s="6" t="s">
        <v>11</v>
      </c>
      <c r="D27" s="6" t="s">
        <v>12</v>
      </c>
      <c r="E27" s="6" t="s">
        <v>26</v>
      </c>
      <c r="F27" s="7">
        <v>4</v>
      </c>
      <c r="G27" s="7">
        <v>12</v>
      </c>
      <c r="H27" s="7">
        <v>48</v>
      </c>
      <c r="I27" s="7">
        <v>3.42</v>
      </c>
    </row>
    <row r="28" spans="1:9" ht="20" customHeight="1" x14ac:dyDescent="0.15">
      <c r="A28" s="51">
        <v>1026</v>
      </c>
      <c r="B28" s="5" t="s">
        <v>52</v>
      </c>
      <c r="C28" s="6" t="s">
        <v>17</v>
      </c>
      <c r="D28" s="6" t="s">
        <v>19</v>
      </c>
      <c r="E28" s="6" t="s">
        <v>22</v>
      </c>
      <c r="F28" s="7">
        <v>1</v>
      </c>
      <c r="G28" s="7">
        <v>250</v>
      </c>
      <c r="H28" s="7">
        <v>250</v>
      </c>
      <c r="I28" s="7">
        <v>17.809999999999999</v>
      </c>
    </row>
    <row r="29" spans="1:9" ht="20" customHeight="1" x14ac:dyDescent="0.15">
      <c r="A29" s="51">
        <v>1027</v>
      </c>
      <c r="B29" s="5" t="s">
        <v>53</v>
      </c>
      <c r="C29" s="6" t="s">
        <v>33</v>
      </c>
      <c r="D29" s="6" t="s">
        <v>12</v>
      </c>
      <c r="E29" s="6" t="s">
        <v>38</v>
      </c>
      <c r="F29" s="7">
        <v>4</v>
      </c>
      <c r="G29" s="7">
        <v>40</v>
      </c>
      <c r="H29" s="7">
        <v>160</v>
      </c>
      <c r="I29" s="7">
        <v>42.72</v>
      </c>
    </row>
    <row r="30" spans="1:9" ht="20" customHeight="1" x14ac:dyDescent="0.15">
      <c r="A30" s="51">
        <v>1028</v>
      </c>
      <c r="B30" s="5" t="s">
        <v>54</v>
      </c>
      <c r="C30" s="6" t="s">
        <v>33</v>
      </c>
      <c r="D30" s="6" t="s">
        <v>19</v>
      </c>
      <c r="E30" s="6" t="s">
        <v>24</v>
      </c>
      <c r="F30" s="7">
        <v>7</v>
      </c>
      <c r="G30" s="7">
        <v>75</v>
      </c>
      <c r="H30" s="7">
        <v>525</v>
      </c>
      <c r="I30" s="7">
        <v>41.11</v>
      </c>
    </row>
    <row r="31" spans="1:9" ht="20" customHeight="1" x14ac:dyDescent="0.15">
      <c r="A31" s="51">
        <v>1029</v>
      </c>
      <c r="B31" s="5" t="s">
        <v>55</v>
      </c>
      <c r="C31" s="6" t="s">
        <v>11</v>
      </c>
      <c r="D31" s="6" t="s">
        <v>29</v>
      </c>
      <c r="E31" s="6" t="s">
        <v>44</v>
      </c>
      <c r="F31" s="7">
        <v>7</v>
      </c>
      <c r="G31" s="7">
        <v>900</v>
      </c>
      <c r="H31" s="7">
        <v>6300</v>
      </c>
      <c r="I31" s="7">
        <v>1947.65</v>
      </c>
    </row>
    <row r="32" spans="1:9" ht="20" customHeight="1" x14ac:dyDescent="0.15">
      <c r="A32" s="51">
        <v>1030</v>
      </c>
      <c r="B32" s="5" t="s">
        <v>56</v>
      </c>
      <c r="C32" s="6" t="s">
        <v>33</v>
      </c>
      <c r="D32" s="6" t="s">
        <v>19</v>
      </c>
      <c r="E32" s="6" t="s">
        <v>24</v>
      </c>
      <c r="F32" s="7">
        <v>6</v>
      </c>
      <c r="G32" s="7">
        <v>25</v>
      </c>
      <c r="H32" s="7">
        <v>150</v>
      </c>
      <c r="I32" s="7">
        <v>18.690000000000001</v>
      </c>
    </row>
    <row r="33" spans="1:9" ht="20" customHeight="1" x14ac:dyDescent="0.15">
      <c r="A33" s="51">
        <v>1031</v>
      </c>
      <c r="B33" s="5" t="s">
        <v>57</v>
      </c>
      <c r="C33" s="6" t="s">
        <v>33</v>
      </c>
      <c r="D33" s="6" t="s">
        <v>19</v>
      </c>
      <c r="E33" s="6" t="s">
        <v>24</v>
      </c>
      <c r="F33" s="7">
        <v>3</v>
      </c>
      <c r="G33" s="7">
        <v>120</v>
      </c>
      <c r="H33" s="7">
        <v>360</v>
      </c>
      <c r="I33" s="7">
        <v>67.959999999999994</v>
      </c>
    </row>
    <row r="34" spans="1:9" ht="20" customHeight="1" x14ac:dyDescent="0.15">
      <c r="A34" s="51">
        <v>1032</v>
      </c>
      <c r="B34" s="5" t="s">
        <v>52</v>
      </c>
      <c r="C34" s="6" t="s">
        <v>15</v>
      </c>
      <c r="D34" s="6" t="s">
        <v>12</v>
      </c>
      <c r="E34" s="6" t="s">
        <v>13</v>
      </c>
      <c r="F34" s="7">
        <v>1</v>
      </c>
      <c r="G34" s="7">
        <v>12</v>
      </c>
      <c r="H34" s="7">
        <v>12</v>
      </c>
      <c r="I34" s="7">
        <v>4.09</v>
      </c>
    </row>
    <row r="35" spans="1:9" ht="20" customHeight="1" x14ac:dyDescent="0.15">
      <c r="A35" s="51">
        <v>1033</v>
      </c>
      <c r="B35" s="5" t="s">
        <v>58</v>
      </c>
      <c r="C35" s="6" t="s">
        <v>15</v>
      </c>
      <c r="D35" s="6" t="s">
        <v>29</v>
      </c>
      <c r="E35" s="6" t="s">
        <v>44</v>
      </c>
      <c r="F35" s="7">
        <v>8</v>
      </c>
      <c r="G35" s="7">
        <v>75</v>
      </c>
      <c r="H35" s="7">
        <v>600</v>
      </c>
      <c r="I35" s="7">
        <v>185.64</v>
      </c>
    </row>
    <row r="36" spans="1:9" ht="20" customHeight="1" x14ac:dyDescent="0.15">
      <c r="A36" s="51">
        <v>1034</v>
      </c>
      <c r="B36" s="5" t="s">
        <v>59</v>
      </c>
      <c r="C36" s="6" t="s">
        <v>17</v>
      </c>
      <c r="D36" s="6" t="s">
        <v>29</v>
      </c>
      <c r="E36" s="6" t="s">
        <v>36</v>
      </c>
      <c r="F36" s="7">
        <v>7</v>
      </c>
      <c r="G36" s="7">
        <v>120</v>
      </c>
      <c r="H36" s="7">
        <v>840</v>
      </c>
      <c r="I36" s="7">
        <v>275.48</v>
      </c>
    </row>
    <row r="37" spans="1:9" ht="20" customHeight="1" x14ac:dyDescent="0.15">
      <c r="A37" s="51">
        <v>1035</v>
      </c>
      <c r="B37" s="5" t="s">
        <v>60</v>
      </c>
      <c r="C37" s="6" t="s">
        <v>11</v>
      </c>
      <c r="D37" s="6" t="s">
        <v>29</v>
      </c>
      <c r="E37" s="6" t="s">
        <v>44</v>
      </c>
      <c r="F37" s="7">
        <v>3</v>
      </c>
      <c r="G37" s="7">
        <v>75</v>
      </c>
      <c r="H37" s="7">
        <v>225</v>
      </c>
      <c r="I37" s="7">
        <v>31.28</v>
      </c>
    </row>
    <row r="38" spans="1:9" ht="20" customHeight="1" x14ac:dyDescent="0.15">
      <c r="A38" s="51">
        <v>1036</v>
      </c>
      <c r="B38" s="5" t="s">
        <v>61</v>
      </c>
      <c r="C38" s="6" t="s">
        <v>15</v>
      </c>
      <c r="D38" s="6" t="s">
        <v>12</v>
      </c>
      <c r="E38" s="6" t="s">
        <v>34</v>
      </c>
      <c r="F38" s="7">
        <v>1</v>
      </c>
      <c r="G38" s="7">
        <v>12</v>
      </c>
      <c r="H38" s="7">
        <v>12</v>
      </c>
      <c r="I38" s="7">
        <v>2.7</v>
      </c>
    </row>
    <row r="39" spans="1:9" ht="20" customHeight="1" x14ac:dyDescent="0.15">
      <c r="A39" s="51">
        <v>1037</v>
      </c>
      <c r="B39" s="5" t="s">
        <v>62</v>
      </c>
      <c r="C39" s="6" t="s">
        <v>15</v>
      </c>
      <c r="D39" s="6" t="s">
        <v>19</v>
      </c>
      <c r="E39" s="6" t="s">
        <v>22</v>
      </c>
      <c r="F39" s="7">
        <v>3</v>
      </c>
      <c r="G39" s="7">
        <v>25</v>
      </c>
      <c r="H39" s="7">
        <v>75</v>
      </c>
      <c r="I39" s="7">
        <v>17.14</v>
      </c>
    </row>
    <row r="40" spans="1:9" ht="20" customHeight="1" x14ac:dyDescent="0.15">
      <c r="A40" s="51">
        <v>1038</v>
      </c>
      <c r="B40" s="5" t="s">
        <v>63</v>
      </c>
      <c r="C40" s="6" t="s">
        <v>17</v>
      </c>
      <c r="D40" s="6" t="s">
        <v>29</v>
      </c>
      <c r="E40" s="6" t="s">
        <v>36</v>
      </c>
      <c r="F40" s="7">
        <v>4</v>
      </c>
      <c r="G40" s="7">
        <v>12</v>
      </c>
      <c r="H40" s="7">
        <v>48</v>
      </c>
      <c r="I40" s="7">
        <v>11.32</v>
      </c>
    </row>
    <row r="41" spans="1:9" ht="20" customHeight="1" x14ac:dyDescent="0.15">
      <c r="A41" s="51">
        <v>1039</v>
      </c>
      <c r="B41" s="5" t="s">
        <v>64</v>
      </c>
      <c r="C41" s="6" t="s">
        <v>17</v>
      </c>
      <c r="D41" s="6" t="s">
        <v>29</v>
      </c>
      <c r="E41" s="6" t="s">
        <v>65</v>
      </c>
      <c r="F41" s="7">
        <v>6</v>
      </c>
      <c r="G41" s="7">
        <v>75</v>
      </c>
      <c r="H41" s="7">
        <v>450</v>
      </c>
      <c r="I41" s="7">
        <v>58.36</v>
      </c>
    </row>
    <row r="42" spans="1:9" ht="20" customHeight="1" x14ac:dyDescent="0.15">
      <c r="A42" s="51">
        <v>1040</v>
      </c>
      <c r="B42" s="5" t="s">
        <v>66</v>
      </c>
      <c r="C42" s="6" t="s">
        <v>11</v>
      </c>
      <c r="D42" s="6" t="s">
        <v>29</v>
      </c>
      <c r="E42" s="6" t="s">
        <v>30</v>
      </c>
      <c r="F42" s="7">
        <v>2</v>
      </c>
      <c r="G42" s="7">
        <v>12</v>
      </c>
      <c r="H42" s="7">
        <v>24</v>
      </c>
      <c r="I42" s="7">
        <v>4.5</v>
      </c>
    </row>
    <row r="43" spans="1:9" ht="20" customHeight="1" x14ac:dyDescent="0.15">
      <c r="A43" s="51">
        <v>1041</v>
      </c>
      <c r="B43" s="5" t="s">
        <v>67</v>
      </c>
      <c r="C43" s="6" t="s">
        <v>15</v>
      </c>
      <c r="D43" s="6" t="s">
        <v>19</v>
      </c>
      <c r="E43" s="6" t="s">
        <v>20</v>
      </c>
      <c r="F43" s="7">
        <v>5</v>
      </c>
      <c r="G43" s="7">
        <v>40</v>
      </c>
      <c r="H43" s="7">
        <v>200</v>
      </c>
      <c r="I43" s="7">
        <v>66</v>
      </c>
    </row>
    <row r="44" spans="1:9" ht="20" customHeight="1" x14ac:dyDescent="0.15">
      <c r="A44" s="51">
        <v>1042</v>
      </c>
      <c r="B44" s="5" t="s">
        <v>68</v>
      </c>
      <c r="C44" s="6" t="s">
        <v>17</v>
      </c>
      <c r="D44" s="6" t="s">
        <v>29</v>
      </c>
      <c r="E44" s="6" t="s">
        <v>30</v>
      </c>
      <c r="F44" s="7">
        <v>3</v>
      </c>
      <c r="G44" s="7">
        <v>900</v>
      </c>
      <c r="H44" s="7">
        <v>2700</v>
      </c>
      <c r="I44" s="7">
        <v>810.33</v>
      </c>
    </row>
    <row r="45" spans="1:9" ht="20" customHeight="1" x14ac:dyDescent="0.15">
      <c r="A45" s="51">
        <v>1043</v>
      </c>
      <c r="B45" s="5" t="s">
        <v>69</v>
      </c>
      <c r="C45" s="6" t="s">
        <v>17</v>
      </c>
      <c r="D45" s="6" t="s">
        <v>12</v>
      </c>
      <c r="E45" s="6" t="s">
        <v>13</v>
      </c>
      <c r="F45" s="7">
        <v>5</v>
      </c>
      <c r="G45" s="7">
        <v>25</v>
      </c>
      <c r="H45" s="7">
        <v>125</v>
      </c>
      <c r="I45" s="7">
        <v>41.46</v>
      </c>
    </row>
    <row r="46" spans="1:9" ht="20" customHeight="1" x14ac:dyDescent="0.15">
      <c r="A46" s="51">
        <v>1044</v>
      </c>
      <c r="B46" s="5" t="s">
        <v>70</v>
      </c>
      <c r="C46" s="6" t="s">
        <v>17</v>
      </c>
      <c r="D46" s="6" t="s">
        <v>19</v>
      </c>
      <c r="E46" s="6" t="s">
        <v>22</v>
      </c>
      <c r="F46" s="7">
        <v>3</v>
      </c>
      <c r="G46" s="7">
        <v>120</v>
      </c>
      <c r="H46" s="7">
        <v>360</v>
      </c>
      <c r="I46" s="7">
        <v>48.43</v>
      </c>
    </row>
    <row r="47" spans="1:9" ht="20" customHeight="1" x14ac:dyDescent="0.15">
      <c r="A47" s="51">
        <v>1045</v>
      </c>
      <c r="B47" s="5" t="s">
        <v>71</v>
      </c>
      <c r="C47" s="6" t="s">
        <v>11</v>
      </c>
      <c r="D47" s="6" t="s">
        <v>19</v>
      </c>
      <c r="E47" s="6" t="s">
        <v>72</v>
      </c>
      <c r="F47" s="7">
        <v>8</v>
      </c>
      <c r="G47" s="7">
        <v>120</v>
      </c>
      <c r="H47" s="7">
        <v>960</v>
      </c>
      <c r="I47" s="7">
        <v>308.74</v>
      </c>
    </row>
    <row r="48" spans="1:9" ht="20" customHeight="1" x14ac:dyDescent="0.15">
      <c r="A48" s="51">
        <v>1046</v>
      </c>
      <c r="B48" s="5" t="s">
        <v>73</v>
      </c>
      <c r="C48" s="6" t="s">
        <v>17</v>
      </c>
      <c r="D48" s="6" t="s">
        <v>12</v>
      </c>
      <c r="E48" s="6" t="s">
        <v>38</v>
      </c>
      <c r="F48" s="7">
        <v>5</v>
      </c>
      <c r="G48" s="7">
        <v>12</v>
      </c>
      <c r="H48" s="7">
        <v>60</v>
      </c>
      <c r="I48" s="7">
        <v>3.06</v>
      </c>
    </row>
    <row r="49" spans="1:9" ht="20" customHeight="1" x14ac:dyDescent="0.15">
      <c r="A49" s="51">
        <v>1047</v>
      </c>
      <c r="B49" s="5" t="s">
        <v>74</v>
      </c>
      <c r="C49" s="6" t="s">
        <v>15</v>
      </c>
      <c r="D49" s="6" t="s">
        <v>19</v>
      </c>
      <c r="E49" s="6" t="s">
        <v>24</v>
      </c>
      <c r="F49" s="7">
        <v>7</v>
      </c>
      <c r="G49" s="7">
        <v>12</v>
      </c>
      <c r="H49" s="7">
        <v>84</v>
      </c>
      <c r="I49" s="7">
        <v>7.02</v>
      </c>
    </row>
    <row r="50" spans="1:9" ht="20" customHeight="1" x14ac:dyDescent="0.15">
      <c r="A50" s="51">
        <v>1048</v>
      </c>
      <c r="B50" s="5" t="s">
        <v>75</v>
      </c>
      <c r="C50" s="6" t="s">
        <v>17</v>
      </c>
      <c r="D50" s="6" t="s">
        <v>12</v>
      </c>
      <c r="E50" s="6" t="s">
        <v>13</v>
      </c>
      <c r="F50" s="7">
        <v>6</v>
      </c>
      <c r="G50" s="7">
        <v>40</v>
      </c>
      <c r="H50" s="7">
        <v>240</v>
      </c>
      <c r="I50" s="7">
        <v>42.94</v>
      </c>
    </row>
    <row r="51" spans="1:9" ht="20" customHeight="1" x14ac:dyDescent="0.15">
      <c r="A51" s="51">
        <v>1049</v>
      </c>
      <c r="B51" s="5" t="s">
        <v>76</v>
      </c>
      <c r="C51" s="6" t="s">
        <v>11</v>
      </c>
      <c r="D51" s="6" t="s">
        <v>29</v>
      </c>
      <c r="E51" s="6" t="s">
        <v>36</v>
      </c>
      <c r="F51" s="7">
        <v>6</v>
      </c>
      <c r="G51" s="7">
        <v>75</v>
      </c>
      <c r="H51" s="7">
        <v>450</v>
      </c>
      <c r="I51" s="7">
        <v>114.58</v>
      </c>
    </row>
    <row r="52" spans="1:9" ht="20" customHeight="1" x14ac:dyDescent="0.15">
      <c r="A52" s="51">
        <v>1050</v>
      </c>
      <c r="B52" s="5" t="s">
        <v>77</v>
      </c>
      <c r="C52" s="6" t="s">
        <v>33</v>
      </c>
      <c r="D52" s="6" t="s">
        <v>29</v>
      </c>
      <c r="E52" s="6" t="s">
        <v>44</v>
      </c>
      <c r="F52" s="7">
        <v>3</v>
      </c>
      <c r="G52" s="7">
        <v>75</v>
      </c>
      <c r="H52" s="7">
        <v>225</v>
      </c>
      <c r="I52" s="7">
        <v>69.61</v>
      </c>
    </row>
    <row r="53" spans="1:9" ht="20" customHeight="1" x14ac:dyDescent="0.15">
      <c r="A53" s="51">
        <v>1051</v>
      </c>
      <c r="B53" s="5" t="s">
        <v>78</v>
      </c>
      <c r="C53" s="6" t="s">
        <v>17</v>
      </c>
      <c r="D53" s="6" t="s">
        <v>19</v>
      </c>
      <c r="E53" s="6" t="s">
        <v>20</v>
      </c>
      <c r="F53" s="7">
        <v>6</v>
      </c>
      <c r="G53" s="7">
        <v>500</v>
      </c>
      <c r="H53" s="7">
        <v>3000</v>
      </c>
      <c r="I53" s="7">
        <v>872.01</v>
      </c>
    </row>
    <row r="54" spans="1:9" ht="20" customHeight="1" x14ac:dyDescent="0.15">
      <c r="A54" s="51">
        <v>1052</v>
      </c>
      <c r="B54" s="5" t="s">
        <v>79</v>
      </c>
      <c r="C54" s="6" t="s">
        <v>15</v>
      </c>
      <c r="D54" s="6" t="s">
        <v>19</v>
      </c>
      <c r="E54" s="6" t="s">
        <v>22</v>
      </c>
      <c r="F54" s="7">
        <v>7</v>
      </c>
      <c r="G54" s="7">
        <v>12</v>
      </c>
      <c r="H54" s="7">
        <v>84</v>
      </c>
      <c r="I54" s="7">
        <v>25.84</v>
      </c>
    </row>
    <row r="55" spans="1:9" ht="20" customHeight="1" x14ac:dyDescent="0.15">
      <c r="A55" s="51">
        <v>1053</v>
      </c>
      <c r="B55" s="5" t="s">
        <v>54</v>
      </c>
      <c r="C55" s="6" t="s">
        <v>15</v>
      </c>
      <c r="D55" s="6" t="s">
        <v>29</v>
      </c>
      <c r="E55" s="6" t="s">
        <v>30</v>
      </c>
      <c r="F55" s="7">
        <v>5</v>
      </c>
      <c r="G55" s="7">
        <v>75</v>
      </c>
      <c r="H55" s="7">
        <v>375</v>
      </c>
      <c r="I55" s="7">
        <v>43.83</v>
      </c>
    </row>
    <row r="56" spans="1:9" ht="20" customHeight="1" x14ac:dyDescent="0.15">
      <c r="A56" s="51">
        <v>1054</v>
      </c>
      <c r="B56" s="5" t="s">
        <v>80</v>
      </c>
      <c r="C56" s="6" t="s">
        <v>17</v>
      </c>
      <c r="D56" s="6" t="s">
        <v>29</v>
      </c>
      <c r="E56" s="6" t="s">
        <v>30</v>
      </c>
      <c r="F56" s="7">
        <v>5</v>
      </c>
      <c r="G56" s="7">
        <v>25</v>
      </c>
      <c r="H56" s="7">
        <v>125</v>
      </c>
      <c r="I56" s="7">
        <v>42.51</v>
      </c>
    </row>
    <row r="57" spans="1:9" ht="20" customHeight="1" x14ac:dyDescent="0.15">
      <c r="A57" s="51">
        <v>1055</v>
      </c>
      <c r="B57" s="5" t="s">
        <v>81</v>
      </c>
      <c r="C57" s="6" t="s">
        <v>15</v>
      </c>
      <c r="D57" s="6" t="s">
        <v>12</v>
      </c>
      <c r="E57" s="6" t="s">
        <v>38</v>
      </c>
      <c r="F57" s="7">
        <v>6</v>
      </c>
      <c r="G57" s="7">
        <v>12</v>
      </c>
      <c r="H57" s="7">
        <v>72</v>
      </c>
      <c r="I57" s="7">
        <v>6.09</v>
      </c>
    </row>
    <row r="58" spans="1:9" ht="20" customHeight="1" x14ac:dyDescent="0.15">
      <c r="A58" s="51">
        <v>1056</v>
      </c>
      <c r="B58" s="5" t="s">
        <v>21</v>
      </c>
      <c r="C58" s="6" t="s">
        <v>17</v>
      </c>
      <c r="D58" s="6" t="s">
        <v>12</v>
      </c>
      <c r="E58" s="6" t="s">
        <v>34</v>
      </c>
      <c r="F58" s="7">
        <v>1</v>
      </c>
      <c r="G58" s="7">
        <v>25</v>
      </c>
      <c r="H58" s="7">
        <v>25</v>
      </c>
      <c r="I58" s="7">
        <v>5.72</v>
      </c>
    </row>
    <row r="59" spans="1:9" ht="20" customHeight="1" x14ac:dyDescent="0.15">
      <c r="A59" s="51">
        <v>1057</v>
      </c>
      <c r="B59" s="5" t="s">
        <v>82</v>
      </c>
      <c r="C59" s="6" t="s">
        <v>33</v>
      </c>
      <c r="D59" s="6" t="s">
        <v>29</v>
      </c>
      <c r="E59" s="6" t="s">
        <v>36</v>
      </c>
      <c r="F59" s="7">
        <v>7</v>
      </c>
      <c r="G59" s="7">
        <v>75</v>
      </c>
      <c r="H59" s="7">
        <v>525</v>
      </c>
      <c r="I59" s="7">
        <v>66.37</v>
      </c>
    </row>
    <row r="60" spans="1:9" ht="20" customHeight="1" x14ac:dyDescent="0.15">
      <c r="A60" s="51">
        <v>1058</v>
      </c>
      <c r="B60" s="5" t="s">
        <v>83</v>
      </c>
      <c r="C60" s="6" t="s">
        <v>17</v>
      </c>
      <c r="D60" s="6" t="s">
        <v>19</v>
      </c>
      <c r="E60" s="6" t="s">
        <v>20</v>
      </c>
      <c r="F60" s="7">
        <v>6</v>
      </c>
      <c r="G60" s="7">
        <v>500</v>
      </c>
      <c r="H60" s="7">
        <v>3000</v>
      </c>
      <c r="I60" s="7">
        <v>212.98</v>
      </c>
    </row>
    <row r="61" spans="1:9" ht="20" customHeight="1" x14ac:dyDescent="0.15">
      <c r="A61" s="51">
        <v>1059</v>
      </c>
      <c r="B61" s="5" t="s">
        <v>76</v>
      </c>
      <c r="C61" s="6" t="s">
        <v>33</v>
      </c>
      <c r="D61" s="6" t="s">
        <v>12</v>
      </c>
      <c r="E61" s="6" t="s">
        <v>34</v>
      </c>
      <c r="F61" s="7">
        <v>2</v>
      </c>
      <c r="G61" s="7">
        <v>120</v>
      </c>
      <c r="H61" s="7">
        <v>240</v>
      </c>
      <c r="I61" s="7">
        <v>48.51</v>
      </c>
    </row>
    <row r="62" spans="1:9" ht="20" customHeight="1" x14ac:dyDescent="0.15">
      <c r="A62" s="51">
        <v>1060</v>
      </c>
      <c r="B62" s="5" t="s">
        <v>83</v>
      </c>
      <c r="C62" s="6" t="s">
        <v>33</v>
      </c>
      <c r="D62" s="6" t="s">
        <v>29</v>
      </c>
      <c r="E62" s="6" t="s">
        <v>44</v>
      </c>
      <c r="F62" s="7">
        <v>5</v>
      </c>
      <c r="G62" s="7">
        <v>40</v>
      </c>
      <c r="H62" s="7">
        <v>200</v>
      </c>
      <c r="I62" s="7">
        <v>21.51</v>
      </c>
    </row>
    <row r="63" spans="1:9" ht="20" customHeight="1" x14ac:dyDescent="0.15">
      <c r="A63" s="51">
        <v>1061</v>
      </c>
      <c r="B63" s="5" t="s">
        <v>84</v>
      </c>
      <c r="C63" s="6" t="s">
        <v>17</v>
      </c>
      <c r="D63" s="6" t="s">
        <v>12</v>
      </c>
      <c r="E63" s="6" t="s">
        <v>26</v>
      </c>
      <c r="F63" s="7">
        <v>5</v>
      </c>
      <c r="G63" s="7">
        <v>500</v>
      </c>
      <c r="H63" s="7">
        <v>2500</v>
      </c>
      <c r="I63" s="7">
        <v>535.95000000000005</v>
      </c>
    </row>
    <row r="64" spans="1:9" ht="20" customHeight="1" x14ac:dyDescent="0.15">
      <c r="A64" s="51">
        <v>1062</v>
      </c>
      <c r="B64" s="5" t="s">
        <v>85</v>
      </c>
      <c r="C64" s="6" t="s">
        <v>15</v>
      </c>
      <c r="D64" s="6" t="s">
        <v>29</v>
      </c>
      <c r="E64" s="6" t="s">
        <v>65</v>
      </c>
      <c r="F64" s="7">
        <v>7</v>
      </c>
      <c r="G64" s="7">
        <v>250</v>
      </c>
      <c r="H64" s="7">
        <v>1750</v>
      </c>
      <c r="I64" s="7">
        <v>331.62</v>
      </c>
    </row>
    <row r="65" spans="1:9" ht="20" customHeight="1" x14ac:dyDescent="0.15">
      <c r="A65" s="51">
        <v>1063</v>
      </c>
      <c r="B65" s="5" t="s">
        <v>86</v>
      </c>
      <c r="C65" s="6" t="s">
        <v>17</v>
      </c>
      <c r="D65" s="6" t="s">
        <v>12</v>
      </c>
      <c r="E65" s="6" t="s">
        <v>38</v>
      </c>
      <c r="F65" s="7">
        <v>3</v>
      </c>
      <c r="G65" s="7">
        <v>25</v>
      </c>
      <c r="H65" s="7">
        <v>75</v>
      </c>
      <c r="I65" s="7">
        <v>10.14</v>
      </c>
    </row>
    <row r="66" spans="1:9" ht="20" customHeight="1" x14ac:dyDescent="0.15">
      <c r="A66" s="51">
        <v>1064</v>
      </c>
      <c r="B66" s="5" t="s">
        <v>87</v>
      </c>
      <c r="C66" s="6" t="s">
        <v>11</v>
      </c>
      <c r="D66" s="6" t="s">
        <v>19</v>
      </c>
      <c r="E66" s="6" t="s">
        <v>20</v>
      </c>
      <c r="F66" s="7">
        <v>5</v>
      </c>
      <c r="G66" s="7">
        <v>75</v>
      </c>
      <c r="H66" s="7">
        <v>375</v>
      </c>
      <c r="I66" s="7">
        <v>109.49</v>
      </c>
    </row>
    <row r="67" spans="1:9" ht="20" customHeight="1" x14ac:dyDescent="0.15">
      <c r="A67" s="51">
        <v>1065</v>
      </c>
      <c r="B67" s="5" t="s">
        <v>88</v>
      </c>
      <c r="C67" s="6" t="s">
        <v>15</v>
      </c>
      <c r="D67" s="6" t="s">
        <v>19</v>
      </c>
      <c r="E67" s="6" t="s">
        <v>20</v>
      </c>
      <c r="F67" s="7">
        <v>8</v>
      </c>
      <c r="G67" s="7">
        <v>25</v>
      </c>
      <c r="H67" s="7">
        <v>200</v>
      </c>
      <c r="I67" s="7">
        <v>37.32</v>
      </c>
    </row>
    <row r="68" spans="1:9" ht="20" customHeight="1" x14ac:dyDescent="0.15">
      <c r="A68" s="51">
        <v>1066</v>
      </c>
      <c r="B68" s="5" t="s">
        <v>89</v>
      </c>
      <c r="C68" s="6" t="s">
        <v>11</v>
      </c>
      <c r="D68" s="6" t="s">
        <v>12</v>
      </c>
      <c r="E68" s="6" t="s">
        <v>38</v>
      </c>
      <c r="F68" s="7">
        <v>8</v>
      </c>
      <c r="G68" s="7">
        <v>500</v>
      </c>
      <c r="H68" s="7">
        <v>4000</v>
      </c>
      <c r="I68" s="7">
        <v>492.78</v>
      </c>
    </row>
    <row r="69" spans="1:9" ht="20" customHeight="1" x14ac:dyDescent="0.15">
      <c r="A69" s="51">
        <v>1067</v>
      </c>
      <c r="B69" s="5" t="s">
        <v>90</v>
      </c>
      <c r="C69" s="6" t="s">
        <v>33</v>
      </c>
      <c r="D69" s="6" t="s">
        <v>19</v>
      </c>
      <c r="E69" s="6" t="s">
        <v>24</v>
      </c>
      <c r="F69" s="7">
        <v>4</v>
      </c>
      <c r="G69" s="7">
        <v>40</v>
      </c>
      <c r="H69" s="7">
        <v>160</v>
      </c>
      <c r="I69" s="7">
        <v>46.6</v>
      </c>
    </row>
    <row r="70" spans="1:9" ht="20" customHeight="1" x14ac:dyDescent="0.15">
      <c r="A70" s="51">
        <v>1068</v>
      </c>
      <c r="B70" s="5" t="s">
        <v>91</v>
      </c>
      <c r="C70" s="6" t="s">
        <v>17</v>
      </c>
      <c r="D70" s="6" t="s">
        <v>19</v>
      </c>
      <c r="E70" s="6" t="s">
        <v>20</v>
      </c>
      <c r="F70" s="7">
        <v>2</v>
      </c>
      <c r="G70" s="7">
        <v>900</v>
      </c>
      <c r="H70" s="7">
        <v>1800</v>
      </c>
      <c r="I70" s="7">
        <v>162</v>
      </c>
    </row>
    <row r="71" spans="1:9" ht="20" customHeight="1" x14ac:dyDescent="0.15">
      <c r="A71" s="51">
        <v>1069</v>
      </c>
      <c r="B71" s="5" t="s">
        <v>92</v>
      </c>
      <c r="C71" s="6" t="s">
        <v>33</v>
      </c>
      <c r="D71" s="6" t="s">
        <v>29</v>
      </c>
      <c r="E71" s="6" t="s">
        <v>44</v>
      </c>
      <c r="F71" s="7">
        <v>8</v>
      </c>
      <c r="G71" s="7">
        <v>40</v>
      </c>
      <c r="H71" s="7">
        <v>320</v>
      </c>
      <c r="I71" s="7">
        <v>87.39</v>
      </c>
    </row>
    <row r="72" spans="1:9" ht="20" customHeight="1" x14ac:dyDescent="0.15">
      <c r="A72" s="51">
        <v>1070</v>
      </c>
      <c r="B72" s="5" t="s">
        <v>93</v>
      </c>
      <c r="C72" s="6" t="s">
        <v>33</v>
      </c>
      <c r="D72" s="6" t="s">
        <v>29</v>
      </c>
      <c r="E72" s="6" t="s">
        <v>65</v>
      </c>
      <c r="F72" s="7">
        <v>5</v>
      </c>
      <c r="G72" s="7">
        <v>900</v>
      </c>
      <c r="H72" s="7">
        <v>4500</v>
      </c>
      <c r="I72" s="7">
        <v>1071.1099999999999</v>
      </c>
    </row>
    <row r="73" spans="1:9" ht="20" customHeight="1" x14ac:dyDescent="0.15">
      <c r="A73" s="51">
        <v>1071</v>
      </c>
      <c r="B73" s="5" t="s">
        <v>94</v>
      </c>
      <c r="C73" s="6" t="s">
        <v>11</v>
      </c>
      <c r="D73" s="6" t="s">
        <v>19</v>
      </c>
      <c r="E73" s="6" t="s">
        <v>72</v>
      </c>
      <c r="F73" s="7">
        <v>4</v>
      </c>
      <c r="G73" s="7">
        <v>120</v>
      </c>
      <c r="H73" s="7">
        <v>480</v>
      </c>
      <c r="I73" s="7">
        <v>72.36</v>
      </c>
    </row>
    <row r="74" spans="1:9" ht="20" customHeight="1" x14ac:dyDescent="0.15">
      <c r="A74" s="51">
        <v>1072</v>
      </c>
      <c r="B74" s="5" t="s">
        <v>95</v>
      </c>
      <c r="C74" s="6" t="s">
        <v>15</v>
      </c>
      <c r="D74" s="6" t="s">
        <v>19</v>
      </c>
      <c r="E74" s="6" t="s">
        <v>20</v>
      </c>
      <c r="F74" s="7">
        <v>4</v>
      </c>
      <c r="G74" s="7">
        <v>500</v>
      </c>
      <c r="H74" s="7">
        <v>2000</v>
      </c>
      <c r="I74" s="7">
        <v>516.37</v>
      </c>
    </row>
    <row r="75" spans="1:9" ht="20" customHeight="1" x14ac:dyDescent="0.15">
      <c r="A75" s="51">
        <v>1073</v>
      </c>
      <c r="B75" s="5" t="s">
        <v>96</v>
      </c>
      <c r="C75" s="6" t="s">
        <v>11</v>
      </c>
      <c r="D75" s="6" t="s">
        <v>19</v>
      </c>
      <c r="E75" s="6" t="s">
        <v>24</v>
      </c>
      <c r="F75" s="7">
        <v>7</v>
      </c>
      <c r="G75" s="7">
        <v>250</v>
      </c>
      <c r="H75" s="7">
        <v>1750</v>
      </c>
      <c r="I75" s="7">
        <v>372.37</v>
      </c>
    </row>
    <row r="76" spans="1:9" ht="20" customHeight="1" x14ac:dyDescent="0.15">
      <c r="A76" s="51">
        <v>1074</v>
      </c>
      <c r="B76" s="5" t="s">
        <v>97</v>
      </c>
      <c r="C76" s="6" t="s">
        <v>33</v>
      </c>
      <c r="D76" s="6" t="s">
        <v>19</v>
      </c>
      <c r="E76" s="6" t="s">
        <v>24</v>
      </c>
      <c r="F76" s="7">
        <v>7</v>
      </c>
      <c r="G76" s="7">
        <v>12</v>
      </c>
      <c r="H76" s="7">
        <v>84</v>
      </c>
      <c r="I76" s="7">
        <v>25.79</v>
      </c>
    </row>
    <row r="77" spans="1:9" ht="20" customHeight="1" x14ac:dyDescent="0.15">
      <c r="A77" s="51">
        <v>1075</v>
      </c>
      <c r="B77" s="5" t="s">
        <v>63</v>
      </c>
      <c r="C77" s="6" t="s">
        <v>15</v>
      </c>
      <c r="D77" s="6" t="s">
        <v>29</v>
      </c>
      <c r="E77" s="6" t="s">
        <v>36</v>
      </c>
      <c r="F77" s="7">
        <v>6</v>
      </c>
      <c r="G77" s="7">
        <v>120</v>
      </c>
      <c r="H77" s="7">
        <v>720</v>
      </c>
      <c r="I77" s="7">
        <v>198.75</v>
      </c>
    </row>
    <row r="78" spans="1:9" ht="20" customHeight="1" x14ac:dyDescent="0.15">
      <c r="A78" s="51">
        <v>1076</v>
      </c>
      <c r="B78" s="5" t="s">
        <v>98</v>
      </c>
      <c r="C78" s="6" t="s">
        <v>17</v>
      </c>
      <c r="D78" s="6" t="s">
        <v>29</v>
      </c>
      <c r="E78" s="6" t="s">
        <v>65</v>
      </c>
      <c r="F78" s="7">
        <v>5</v>
      </c>
      <c r="G78" s="7">
        <v>500</v>
      </c>
      <c r="H78" s="7">
        <v>2500</v>
      </c>
      <c r="I78" s="7">
        <v>489.23</v>
      </c>
    </row>
    <row r="79" spans="1:9" ht="20" customHeight="1" x14ac:dyDescent="0.15">
      <c r="A79" s="51">
        <v>1077</v>
      </c>
      <c r="B79" s="5" t="s">
        <v>99</v>
      </c>
      <c r="C79" s="6" t="s">
        <v>11</v>
      </c>
      <c r="D79" s="6" t="s">
        <v>12</v>
      </c>
      <c r="E79" s="6" t="s">
        <v>38</v>
      </c>
      <c r="F79" s="7">
        <v>3</v>
      </c>
      <c r="G79" s="7">
        <v>900</v>
      </c>
      <c r="H79" s="7">
        <v>2700</v>
      </c>
      <c r="I79" s="7">
        <v>879.83</v>
      </c>
    </row>
    <row r="80" spans="1:9" ht="20" customHeight="1" x14ac:dyDescent="0.15">
      <c r="A80" s="51">
        <v>1078</v>
      </c>
      <c r="B80" s="5" t="s">
        <v>100</v>
      </c>
      <c r="C80" s="6" t="s">
        <v>15</v>
      </c>
      <c r="D80" s="6" t="s">
        <v>29</v>
      </c>
      <c r="E80" s="6" t="s">
        <v>36</v>
      </c>
      <c r="F80" s="7">
        <v>2</v>
      </c>
      <c r="G80" s="7">
        <v>500</v>
      </c>
      <c r="H80" s="7">
        <v>1000</v>
      </c>
      <c r="I80" s="7">
        <v>90.71</v>
      </c>
    </row>
    <row r="81" spans="1:9" ht="20" customHeight="1" x14ac:dyDescent="0.15">
      <c r="A81" s="51">
        <v>1079</v>
      </c>
      <c r="B81" s="5" t="s">
        <v>101</v>
      </c>
      <c r="C81" s="6" t="s">
        <v>17</v>
      </c>
      <c r="D81" s="6" t="s">
        <v>19</v>
      </c>
      <c r="E81" s="6" t="s">
        <v>72</v>
      </c>
      <c r="F81" s="7">
        <v>7</v>
      </c>
      <c r="G81" s="7">
        <v>250</v>
      </c>
      <c r="H81" s="7">
        <v>1750</v>
      </c>
      <c r="I81" s="7">
        <v>198.62</v>
      </c>
    </row>
    <row r="82" spans="1:9" ht="20" customHeight="1" x14ac:dyDescent="0.15">
      <c r="A82" s="51">
        <v>1080</v>
      </c>
      <c r="B82" s="5" t="s">
        <v>102</v>
      </c>
      <c r="C82" s="6" t="s">
        <v>11</v>
      </c>
      <c r="D82" s="6" t="s">
        <v>29</v>
      </c>
      <c r="E82" s="6" t="s">
        <v>30</v>
      </c>
      <c r="F82" s="7">
        <v>7</v>
      </c>
      <c r="G82" s="7">
        <v>120</v>
      </c>
      <c r="H82" s="7">
        <v>840</v>
      </c>
      <c r="I82" s="7">
        <v>252.4</v>
      </c>
    </row>
    <row r="83" spans="1:9" ht="20" customHeight="1" x14ac:dyDescent="0.15">
      <c r="A83" s="51">
        <v>1081</v>
      </c>
      <c r="B83" s="5" t="s">
        <v>103</v>
      </c>
      <c r="C83" s="6" t="s">
        <v>11</v>
      </c>
      <c r="D83" s="6" t="s">
        <v>12</v>
      </c>
      <c r="E83" s="6" t="s">
        <v>13</v>
      </c>
      <c r="F83" s="7">
        <v>6</v>
      </c>
      <c r="G83" s="7">
        <v>75</v>
      </c>
      <c r="H83" s="7">
        <v>450</v>
      </c>
      <c r="I83" s="7">
        <v>110.27</v>
      </c>
    </row>
    <row r="84" spans="1:9" ht="20" customHeight="1" x14ac:dyDescent="0.15">
      <c r="A84" s="51">
        <v>1082</v>
      </c>
      <c r="B84" s="5" t="s">
        <v>104</v>
      </c>
      <c r="C84" s="6" t="s">
        <v>15</v>
      </c>
      <c r="D84" s="6" t="s">
        <v>19</v>
      </c>
      <c r="E84" s="6" t="s">
        <v>20</v>
      </c>
      <c r="F84" s="7">
        <v>4</v>
      </c>
      <c r="G84" s="7">
        <v>12</v>
      </c>
      <c r="H84" s="7">
        <v>48</v>
      </c>
      <c r="I84" s="7">
        <v>11.35</v>
      </c>
    </row>
    <row r="85" spans="1:9" ht="20" customHeight="1" x14ac:dyDescent="0.15">
      <c r="A85" s="51">
        <v>1083</v>
      </c>
      <c r="B85" s="5" t="s">
        <v>105</v>
      </c>
      <c r="C85" s="6" t="s">
        <v>15</v>
      </c>
      <c r="D85" s="6" t="s">
        <v>29</v>
      </c>
      <c r="E85" s="6" t="s">
        <v>36</v>
      </c>
      <c r="F85" s="7">
        <v>4</v>
      </c>
      <c r="G85" s="7">
        <v>900</v>
      </c>
      <c r="H85" s="7">
        <v>3600</v>
      </c>
      <c r="I85" s="7">
        <v>935.42</v>
      </c>
    </row>
    <row r="86" spans="1:9" ht="20" customHeight="1" x14ac:dyDescent="0.15">
      <c r="A86" s="51">
        <v>1084</v>
      </c>
      <c r="B86" s="5" t="s">
        <v>106</v>
      </c>
      <c r="C86" s="6" t="s">
        <v>17</v>
      </c>
      <c r="D86" s="6" t="s">
        <v>12</v>
      </c>
      <c r="E86" s="6" t="s">
        <v>13</v>
      </c>
      <c r="F86" s="7">
        <v>3</v>
      </c>
      <c r="G86" s="7">
        <v>120</v>
      </c>
      <c r="H86" s="7">
        <v>360</v>
      </c>
      <c r="I86" s="7">
        <v>29.67</v>
      </c>
    </row>
    <row r="87" spans="1:9" ht="20" customHeight="1" x14ac:dyDescent="0.15">
      <c r="A87" s="51">
        <v>1085</v>
      </c>
      <c r="B87" s="5" t="s">
        <v>74</v>
      </c>
      <c r="C87" s="6" t="s">
        <v>15</v>
      </c>
      <c r="D87" s="6" t="s">
        <v>12</v>
      </c>
      <c r="E87" s="6" t="s">
        <v>38</v>
      </c>
      <c r="F87" s="7">
        <v>7</v>
      </c>
      <c r="G87" s="7">
        <v>75</v>
      </c>
      <c r="H87" s="7">
        <v>525</v>
      </c>
      <c r="I87" s="7">
        <v>38.22</v>
      </c>
    </row>
    <row r="88" spans="1:9" ht="20" customHeight="1" x14ac:dyDescent="0.15">
      <c r="A88" s="51">
        <v>1086</v>
      </c>
      <c r="B88" s="5" t="s">
        <v>107</v>
      </c>
      <c r="C88" s="6" t="s">
        <v>17</v>
      </c>
      <c r="D88" s="6" t="s">
        <v>19</v>
      </c>
      <c r="E88" s="6" t="s">
        <v>72</v>
      </c>
      <c r="F88" s="7">
        <v>2</v>
      </c>
      <c r="G88" s="7">
        <v>12</v>
      </c>
      <c r="H88" s="7">
        <v>24</v>
      </c>
      <c r="I88" s="7">
        <v>3.7</v>
      </c>
    </row>
    <row r="89" spans="1:9" ht="20" customHeight="1" x14ac:dyDescent="0.15">
      <c r="A89" s="51">
        <v>1087</v>
      </c>
      <c r="B89" s="5" t="s">
        <v>108</v>
      </c>
      <c r="C89" s="6" t="s">
        <v>33</v>
      </c>
      <c r="D89" s="6" t="s">
        <v>19</v>
      </c>
      <c r="E89" s="6" t="s">
        <v>72</v>
      </c>
      <c r="F89" s="7">
        <v>1</v>
      </c>
      <c r="G89" s="7">
        <v>500</v>
      </c>
      <c r="H89" s="7">
        <v>500</v>
      </c>
      <c r="I89" s="7">
        <v>148.35</v>
      </c>
    </row>
    <row r="90" spans="1:9" ht="20" customHeight="1" x14ac:dyDescent="0.15">
      <c r="A90" s="51">
        <v>1088</v>
      </c>
      <c r="B90" s="5" t="s">
        <v>109</v>
      </c>
      <c r="C90" s="6" t="s">
        <v>17</v>
      </c>
      <c r="D90" s="6" t="s">
        <v>29</v>
      </c>
      <c r="E90" s="6" t="s">
        <v>44</v>
      </c>
      <c r="F90" s="7">
        <v>3</v>
      </c>
      <c r="G90" s="7">
        <v>500</v>
      </c>
      <c r="H90" s="7">
        <v>1500</v>
      </c>
      <c r="I90" s="7">
        <v>154.26</v>
      </c>
    </row>
    <row r="91" spans="1:9" ht="20" customHeight="1" x14ac:dyDescent="0.15">
      <c r="A91" s="51">
        <v>1089</v>
      </c>
      <c r="B91" s="5" t="s">
        <v>110</v>
      </c>
      <c r="C91" s="6" t="s">
        <v>17</v>
      </c>
      <c r="D91" s="6" t="s">
        <v>12</v>
      </c>
      <c r="E91" s="6" t="s">
        <v>38</v>
      </c>
      <c r="F91" s="7">
        <v>8</v>
      </c>
      <c r="G91" s="7">
        <v>500</v>
      </c>
      <c r="H91" s="7">
        <v>4000</v>
      </c>
      <c r="I91" s="7">
        <v>1190.8800000000001</v>
      </c>
    </row>
    <row r="92" spans="1:9" ht="20" customHeight="1" x14ac:dyDescent="0.15">
      <c r="A92" s="51">
        <v>1090</v>
      </c>
      <c r="B92" s="5" t="s">
        <v>111</v>
      </c>
      <c r="C92" s="6" t="s">
        <v>33</v>
      </c>
      <c r="D92" s="6" t="s">
        <v>29</v>
      </c>
      <c r="E92" s="6" t="s">
        <v>65</v>
      </c>
      <c r="F92" s="7">
        <v>2</v>
      </c>
      <c r="G92" s="7">
        <v>120</v>
      </c>
      <c r="H92" s="7">
        <v>240</v>
      </c>
      <c r="I92" s="7">
        <v>75.48</v>
      </c>
    </row>
    <row r="93" spans="1:9" ht="20" customHeight="1" x14ac:dyDescent="0.15">
      <c r="A93" s="51">
        <v>1091</v>
      </c>
      <c r="B93" s="5" t="s">
        <v>112</v>
      </c>
      <c r="C93" s="6" t="s">
        <v>15</v>
      </c>
      <c r="D93" s="6" t="s">
        <v>12</v>
      </c>
      <c r="E93" s="6" t="s">
        <v>38</v>
      </c>
      <c r="F93" s="7">
        <v>6</v>
      </c>
      <c r="G93" s="7">
        <v>12</v>
      </c>
      <c r="H93" s="7">
        <v>72</v>
      </c>
      <c r="I93" s="7">
        <v>14.28</v>
      </c>
    </row>
    <row r="94" spans="1:9" ht="20" customHeight="1" x14ac:dyDescent="0.15">
      <c r="A94" s="51">
        <v>1092</v>
      </c>
      <c r="B94" s="5" t="s">
        <v>113</v>
      </c>
      <c r="C94" s="6" t="s">
        <v>17</v>
      </c>
      <c r="D94" s="6" t="s">
        <v>29</v>
      </c>
      <c r="E94" s="6" t="s">
        <v>65</v>
      </c>
      <c r="F94" s="7">
        <v>6</v>
      </c>
      <c r="G94" s="7">
        <v>120</v>
      </c>
      <c r="H94" s="7">
        <v>720</v>
      </c>
      <c r="I94" s="7">
        <v>109.51</v>
      </c>
    </row>
    <row r="95" spans="1:9" ht="20" customHeight="1" x14ac:dyDescent="0.15">
      <c r="A95" s="51">
        <v>1093</v>
      </c>
      <c r="B95" s="5" t="s">
        <v>114</v>
      </c>
      <c r="C95" s="6" t="s">
        <v>33</v>
      </c>
      <c r="D95" s="6" t="s">
        <v>12</v>
      </c>
      <c r="E95" s="6" t="s">
        <v>13</v>
      </c>
      <c r="F95" s="7">
        <v>4</v>
      </c>
      <c r="G95" s="7">
        <v>25</v>
      </c>
      <c r="H95" s="7">
        <v>100</v>
      </c>
      <c r="I95" s="7">
        <v>12.24</v>
      </c>
    </row>
    <row r="96" spans="1:9" ht="20" customHeight="1" x14ac:dyDescent="0.15">
      <c r="A96" s="51">
        <v>1094</v>
      </c>
      <c r="B96" s="5" t="s">
        <v>115</v>
      </c>
      <c r="C96" s="6" t="s">
        <v>11</v>
      </c>
      <c r="D96" s="6" t="s">
        <v>12</v>
      </c>
      <c r="E96" s="6" t="s">
        <v>26</v>
      </c>
      <c r="F96" s="7">
        <v>8</v>
      </c>
      <c r="G96" s="7">
        <v>900</v>
      </c>
      <c r="H96" s="7">
        <v>7200</v>
      </c>
      <c r="I96" s="7">
        <v>1328.06</v>
      </c>
    </row>
    <row r="97" spans="1:9" ht="20" customHeight="1" x14ac:dyDescent="0.15">
      <c r="A97" s="51">
        <v>1095</v>
      </c>
      <c r="B97" s="5" t="s">
        <v>116</v>
      </c>
      <c r="C97" s="6" t="s">
        <v>17</v>
      </c>
      <c r="D97" s="6" t="s">
        <v>29</v>
      </c>
      <c r="E97" s="6" t="s">
        <v>65</v>
      </c>
      <c r="F97" s="7">
        <v>7</v>
      </c>
      <c r="G97" s="7">
        <v>75</v>
      </c>
      <c r="H97" s="7">
        <v>525</v>
      </c>
      <c r="I97" s="7">
        <v>74.48</v>
      </c>
    </row>
    <row r="98" spans="1:9" ht="20" customHeight="1" x14ac:dyDescent="0.15">
      <c r="A98" s="51">
        <v>1096</v>
      </c>
      <c r="B98" s="5" t="s">
        <v>59</v>
      </c>
      <c r="C98" s="6" t="s">
        <v>17</v>
      </c>
      <c r="D98" s="6" t="s">
        <v>29</v>
      </c>
      <c r="E98" s="6" t="s">
        <v>30</v>
      </c>
      <c r="F98" s="7">
        <v>7</v>
      </c>
      <c r="G98" s="7">
        <v>250</v>
      </c>
      <c r="H98" s="7">
        <v>1750</v>
      </c>
      <c r="I98" s="7">
        <v>272.2</v>
      </c>
    </row>
    <row r="99" spans="1:9" ht="20" customHeight="1" x14ac:dyDescent="0.15">
      <c r="A99" s="51">
        <v>1097</v>
      </c>
      <c r="B99" s="5" t="s">
        <v>32</v>
      </c>
      <c r="C99" s="6" t="s">
        <v>11</v>
      </c>
      <c r="D99" s="6" t="s">
        <v>29</v>
      </c>
      <c r="E99" s="6" t="s">
        <v>30</v>
      </c>
      <c r="F99" s="7">
        <v>4</v>
      </c>
      <c r="G99" s="7">
        <v>25</v>
      </c>
      <c r="H99" s="7">
        <v>100</v>
      </c>
      <c r="I99" s="7">
        <v>26.64</v>
      </c>
    </row>
    <row r="100" spans="1:9" ht="20" customHeight="1" x14ac:dyDescent="0.15">
      <c r="A100" s="51">
        <v>1098</v>
      </c>
      <c r="B100" s="5" t="s">
        <v>117</v>
      </c>
      <c r="C100" s="6" t="s">
        <v>17</v>
      </c>
      <c r="D100" s="6" t="s">
        <v>12</v>
      </c>
      <c r="E100" s="6" t="s">
        <v>26</v>
      </c>
      <c r="F100" s="7">
        <v>4</v>
      </c>
      <c r="G100" s="7">
        <v>75</v>
      </c>
      <c r="H100" s="7">
        <v>300</v>
      </c>
      <c r="I100" s="7">
        <v>81.47</v>
      </c>
    </row>
    <row r="101" spans="1:9" ht="20" customHeight="1" x14ac:dyDescent="0.15">
      <c r="A101" s="51">
        <v>1099</v>
      </c>
      <c r="B101" s="5" t="s">
        <v>118</v>
      </c>
      <c r="C101" s="6" t="s">
        <v>11</v>
      </c>
      <c r="D101" s="6" t="s">
        <v>19</v>
      </c>
      <c r="E101" s="6" t="s">
        <v>20</v>
      </c>
      <c r="F101" s="7">
        <v>5</v>
      </c>
      <c r="G101" s="7">
        <v>75</v>
      </c>
      <c r="H101" s="7">
        <v>375</v>
      </c>
      <c r="I101" s="7">
        <v>59.35</v>
      </c>
    </row>
    <row r="102" spans="1:9" ht="20" customHeight="1" x14ac:dyDescent="0.15">
      <c r="A102" s="51">
        <v>1100</v>
      </c>
      <c r="B102" s="5" t="s">
        <v>119</v>
      </c>
      <c r="C102" s="6" t="s">
        <v>17</v>
      </c>
      <c r="D102" s="6" t="s">
        <v>12</v>
      </c>
      <c r="E102" s="6" t="s">
        <v>26</v>
      </c>
      <c r="F102" s="7">
        <v>5</v>
      </c>
      <c r="G102" s="7">
        <v>12</v>
      </c>
      <c r="H102" s="7">
        <v>60</v>
      </c>
      <c r="I102" s="7">
        <v>20.54</v>
      </c>
    </row>
    <row r="103" spans="1:9" ht="20" customHeight="1" x14ac:dyDescent="0.15">
      <c r="A103" s="51">
        <v>1101</v>
      </c>
      <c r="B103" s="5" t="s">
        <v>120</v>
      </c>
      <c r="C103" s="6" t="s">
        <v>17</v>
      </c>
      <c r="D103" s="6" t="s">
        <v>12</v>
      </c>
      <c r="E103" s="6" t="s">
        <v>26</v>
      </c>
      <c r="F103" s="7">
        <v>8</v>
      </c>
      <c r="G103" s="7">
        <v>25</v>
      </c>
      <c r="H103" s="7">
        <v>200</v>
      </c>
      <c r="I103" s="7">
        <v>62.36</v>
      </c>
    </row>
    <row r="104" spans="1:9" ht="20" customHeight="1" x14ac:dyDescent="0.15">
      <c r="A104" s="51">
        <v>1102</v>
      </c>
      <c r="B104" s="5" t="s">
        <v>71</v>
      </c>
      <c r="C104" s="6" t="s">
        <v>17</v>
      </c>
      <c r="D104" s="6" t="s">
        <v>29</v>
      </c>
      <c r="E104" s="6" t="s">
        <v>44</v>
      </c>
      <c r="F104" s="7">
        <v>8</v>
      </c>
      <c r="G104" s="7">
        <v>250</v>
      </c>
      <c r="H104" s="7">
        <v>2000</v>
      </c>
      <c r="I104" s="7">
        <v>210.62</v>
      </c>
    </row>
    <row r="105" spans="1:9" ht="20" customHeight="1" x14ac:dyDescent="0.15">
      <c r="A105" s="51">
        <v>1103</v>
      </c>
      <c r="B105" s="5" t="s">
        <v>121</v>
      </c>
      <c r="C105" s="6" t="s">
        <v>11</v>
      </c>
      <c r="D105" s="6" t="s">
        <v>29</v>
      </c>
      <c r="E105" s="6" t="s">
        <v>36</v>
      </c>
      <c r="F105" s="7">
        <v>2</v>
      </c>
      <c r="G105" s="7">
        <v>500</v>
      </c>
      <c r="H105" s="7">
        <v>1000</v>
      </c>
      <c r="I105" s="7">
        <v>197.52</v>
      </c>
    </row>
    <row r="106" spans="1:9" ht="20" customHeight="1" x14ac:dyDescent="0.15">
      <c r="A106" s="51">
        <v>1104</v>
      </c>
      <c r="B106" s="5" t="s">
        <v>122</v>
      </c>
      <c r="C106" s="6" t="s">
        <v>33</v>
      </c>
      <c r="D106" s="6" t="s">
        <v>19</v>
      </c>
      <c r="E106" s="6" t="s">
        <v>20</v>
      </c>
      <c r="F106" s="7">
        <v>5</v>
      </c>
      <c r="G106" s="7">
        <v>25</v>
      </c>
      <c r="H106" s="7">
        <v>125</v>
      </c>
      <c r="I106" s="7">
        <v>43.52</v>
      </c>
    </row>
    <row r="107" spans="1:9" ht="20" customHeight="1" x14ac:dyDescent="0.15">
      <c r="A107" s="51">
        <v>1105</v>
      </c>
      <c r="B107" s="5" t="s">
        <v>123</v>
      </c>
      <c r="C107" s="6" t="s">
        <v>33</v>
      </c>
      <c r="D107" s="6" t="s">
        <v>12</v>
      </c>
      <c r="E107" s="6" t="s">
        <v>26</v>
      </c>
      <c r="F107" s="7">
        <v>7</v>
      </c>
      <c r="G107" s="7">
        <v>900</v>
      </c>
      <c r="H107" s="7">
        <v>6300</v>
      </c>
      <c r="I107" s="7">
        <v>2032.07</v>
      </c>
    </row>
    <row r="108" spans="1:9" ht="20" customHeight="1" x14ac:dyDescent="0.15">
      <c r="A108" s="51">
        <v>1106</v>
      </c>
      <c r="B108" s="5" t="s">
        <v>124</v>
      </c>
      <c r="C108" s="6" t="s">
        <v>11</v>
      </c>
      <c r="D108" s="6" t="s">
        <v>29</v>
      </c>
      <c r="E108" s="6" t="s">
        <v>36</v>
      </c>
      <c r="F108" s="7">
        <v>2</v>
      </c>
      <c r="G108" s="7">
        <v>75</v>
      </c>
      <c r="H108" s="7">
        <v>150</v>
      </c>
      <c r="I108" s="7">
        <v>35.65</v>
      </c>
    </row>
    <row r="109" spans="1:9" ht="20" customHeight="1" x14ac:dyDescent="0.15">
      <c r="A109" s="51">
        <v>1107</v>
      </c>
      <c r="B109" s="5" t="s">
        <v>125</v>
      </c>
      <c r="C109" s="6" t="s">
        <v>33</v>
      </c>
      <c r="D109" s="6" t="s">
        <v>19</v>
      </c>
      <c r="E109" s="6" t="s">
        <v>20</v>
      </c>
      <c r="F109" s="7">
        <v>3</v>
      </c>
      <c r="G109" s="7">
        <v>25</v>
      </c>
      <c r="H109" s="7">
        <v>75</v>
      </c>
      <c r="I109" s="7">
        <v>7.27</v>
      </c>
    </row>
    <row r="110" spans="1:9" ht="20" customHeight="1" x14ac:dyDescent="0.15">
      <c r="A110" s="51">
        <v>1108</v>
      </c>
      <c r="B110" s="5" t="s">
        <v>95</v>
      </c>
      <c r="C110" s="6" t="s">
        <v>17</v>
      </c>
      <c r="D110" s="6" t="s">
        <v>12</v>
      </c>
      <c r="E110" s="6" t="s">
        <v>38</v>
      </c>
      <c r="F110" s="7">
        <v>5</v>
      </c>
      <c r="G110" s="7">
        <v>12</v>
      </c>
      <c r="H110" s="7">
        <v>60</v>
      </c>
      <c r="I110" s="7">
        <v>7.17</v>
      </c>
    </row>
    <row r="111" spans="1:9" ht="20" customHeight="1" x14ac:dyDescent="0.15">
      <c r="A111" s="51">
        <v>1109</v>
      </c>
      <c r="B111" s="5" t="s">
        <v>126</v>
      </c>
      <c r="C111" s="6" t="s">
        <v>15</v>
      </c>
      <c r="D111" s="6" t="s">
        <v>12</v>
      </c>
      <c r="E111" s="6" t="s">
        <v>38</v>
      </c>
      <c r="F111" s="7">
        <v>2</v>
      </c>
      <c r="G111" s="7">
        <v>75</v>
      </c>
      <c r="H111" s="7">
        <v>150</v>
      </c>
      <c r="I111" s="7">
        <v>49.08</v>
      </c>
    </row>
    <row r="112" spans="1:9" ht="20" customHeight="1" x14ac:dyDescent="0.15">
      <c r="A112" s="51">
        <v>1110</v>
      </c>
      <c r="B112" s="5" t="s">
        <v>127</v>
      </c>
      <c r="C112" s="6" t="s">
        <v>11</v>
      </c>
      <c r="D112" s="6" t="s">
        <v>29</v>
      </c>
      <c r="E112" s="6" t="s">
        <v>36</v>
      </c>
      <c r="F112" s="7">
        <v>4</v>
      </c>
      <c r="G112" s="7">
        <v>40</v>
      </c>
      <c r="H112" s="7">
        <v>160</v>
      </c>
      <c r="I112" s="7">
        <v>51.6</v>
      </c>
    </row>
    <row r="113" spans="1:9" ht="20" customHeight="1" x14ac:dyDescent="0.15">
      <c r="A113" s="51">
        <v>1111</v>
      </c>
      <c r="B113" s="5" t="s">
        <v>41</v>
      </c>
      <c r="C113" s="6" t="s">
        <v>17</v>
      </c>
      <c r="D113" s="6" t="s">
        <v>19</v>
      </c>
      <c r="E113" s="6" t="s">
        <v>20</v>
      </c>
      <c r="F113" s="7">
        <v>5</v>
      </c>
      <c r="G113" s="7">
        <v>120</v>
      </c>
      <c r="H113" s="7">
        <v>600</v>
      </c>
      <c r="I113" s="7">
        <v>109.05</v>
      </c>
    </row>
    <row r="114" spans="1:9" ht="20" customHeight="1" x14ac:dyDescent="0.15">
      <c r="A114" s="51">
        <v>1112</v>
      </c>
      <c r="B114" s="5" t="s">
        <v>128</v>
      </c>
      <c r="C114" s="6" t="s">
        <v>11</v>
      </c>
      <c r="D114" s="6" t="s">
        <v>12</v>
      </c>
      <c r="E114" s="6" t="s">
        <v>38</v>
      </c>
      <c r="F114" s="7">
        <v>5</v>
      </c>
      <c r="G114" s="7">
        <v>900</v>
      </c>
      <c r="H114" s="7">
        <v>4500</v>
      </c>
      <c r="I114" s="7">
        <v>815.97</v>
      </c>
    </row>
    <row r="115" spans="1:9" ht="20" customHeight="1" x14ac:dyDescent="0.15">
      <c r="A115" s="51">
        <v>1113</v>
      </c>
      <c r="B115" s="5" t="s">
        <v>62</v>
      </c>
      <c r="C115" s="6" t="s">
        <v>11</v>
      </c>
      <c r="D115" s="6" t="s">
        <v>29</v>
      </c>
      <c r="E115" s="6" t="s">
        <v>30</v>
      </c>
      <c r="F115" s="7">
        <v>5</v>
      </c>
      <c r="G115" s="7">
        <v>12</v>
      </c>
      <c r="H115" s="7">
        <v>60</v>
      </c>
      <c r="I115" s="7">
        <v>4.6399999999999997</v>
      </c>
    </row>
    <row r="116" spans="1:9" ht="20" customHeight="1" x14ac:dyDescent="0.15">
      <c r="A116" s="51">
        <v>1114</v>
      </c>
      <c r="B116" s="5" t="s">
        <v>103</v>
      </c>
      <c r="C116" s="6" t="s">
        <v>33</v>
      </c>
      <c r="D116" s="6" t="s">
        <v>12</v>
      </c>
      <c r="E116" s="6" t="s">
        <v>34</v>
      </c>
      <c r="F116" s="7">
        <v>1</v>
      </c>
      <c r="G116" s="7">
        <v>40</v>
      </c>
      <c r="H116" s="7">
        <v>40</v>
      </c>
      <c r="I116" s="7">
        <v>7.65</v>
      </c>
    </row>
    <row r="117" spans="1:9" ht="20" customHeight="1" x14ac:dyDescent="0.15">
      <c r="A117" s="51">
        <v>1115</v>
      </c>
      <c r="B117" s="5" t="s">
        <v>102</v>
      </c>
      <c r="C117" s="6" t="s">
        <v>17</v>
      </c>
      <c r="D117" s="6" t="s">
        <v>29</v>
      </c>
      <c r="E117" s="6" t="s">
        <v>65</v>
      </c>
      <c r="F117" s="7">
        <v>7</v>
      </c>
      <c r="G117" s="7">
        <v>900</v>
      </c>
      <c r="H117" s="7">
        <v>6300</v>
      </c>
      <c r="I117" s="7">
        <v>2146.5100000000002</v>
      </c>
    </row>
    <row r="118" spans="1:9" ht="20" customHeight="1" x14ac:dyDescent="0.15">
      <c r="A118" s="51">
        <v>1116</v>
      </c>
      <c r="B118" s="5" t="s">
        <v>129</v>
      </c>
      <c r="C118" s="6" t="s">
        <v>33</v>
      </c>
      <c r="D118" s="6" t="s">
        <v>29</v>
      </c>
      <c r="E118" s="6" t="s">
        <v>30</v>
      </c>
      <c r="F118" s="7">
        <v>6</v>
      </c>
      <c r="G118" s="7">
        <v>25</v>
      </c>
      <c r="H118" s="7">
        <v>150</v>
      </c>
      <c r="I118" s="7">
        <v>46.1</v>
      </c>
    </row>
    <row r="119" spans="1:9" ht="20" customHeight="1" x14ac:dyDescent="0.15">
      <c r="A119" s="51">
        <v>1117</v>
      </c>
      <c r="B119" s="5" t="s">
        <v>130</v>
      </c>
      <c r="C119" s="6" t="s">
        <v>11</v>
      </c>
      <c r="D119" s="6" t="s">
        <v>12</v>
      </c>
      <c r="E119" s="6" t="s">
        <v>38</v>
      </c>
      <c r="F119" s="7">
        <v>5</v>
      </c>
      <c r="G119" s="7">
        <v>500</v>
      </c>
      <c r="H119" s="7">
        <v>2500</v>
      </c>
      <c r="I119" s="7">
        <v>735.17</v>
      </c>
    </row>
    <row r="120" spans="1:9" ht="20" customHeight="1" x14ac:dyDescent="0.15">
      <c r="A120" s="51">
        <v>1118</v>
      </c>
      <c r="B120" s="5" t="s">
        <v>131</v>
      </c>
      <c r="C120" s="6" t="s">
        <v>11</v>
      </c>
      <c r="D120" s="6" t="s">
        <v>29</v>
      </c>
      <c r="E120" s="6" t="s">
        <v>36</v>
      </c>
      <c r="F120" s="7">
        <v>6</v>
      </c>
      <c r="G120" s="7">
        <v>120</v>
      </c>
      <c r="H120" s="7">
        <v>720</v>
      </c>
      <c r="I120" s="7">
        <v>105.83</v>
      </c>
    </row>
    <row r="121" spans="1:9" ht="20" customHeight="1" x14ac:dyDescent="0.15">
      <c r="A121" s="51">
        <v>1119</v>
      </c>
      <c r="B121" s="5" t="s">
        <v>46</v>
      </c>
      <c r="C121" s="6" t="s">
        <v>33</v>
      </c>
      <c r="D121" s="6" t="s">
        <v>12</v>
      </c>
      <c r="E121" s="6" t="s">
        <v>38</v>
      </c>
      <c r="F121" s="7">
        <v>7</v>
      </c>
      <c r="G121" s="7">
        <v>12</v>
      </c>
      <c r="H121" s="7">
        <v>84</v>
      </c>
      <c r="I121" s="7">
        <v>8.93</v>
      </c>
    </row>
    <row r="122" spans="1:9" ht="20" customHeight="1" x14ac:dyDescent="0.15">
      <c r="A122" s="51">
        <v>1120</v>
      </c>
      <c r="B122" s="5" t="s">
        <v>64</v>
      </c>
      <c r="C122" s="6" t="s">
        <v>17</v>
      </c>
      <c r="D122" s="6" t="s">
        <v>12</v>
      </c>
      <c r="E122" s="6" t="s">
        <v>38</v>
      </c>
      <c r="F122" s="7">
        <v>1</v>
      </c>
      <c r="G122" s="7">
        <v>75</v>
      </c>
      <c r="H122" s="7">
        <v>75</v>
      </c>
      <c r="I122" s="7">
        <v>9.76</v>
      </c>
    </row>
    <row r="123" spans="1:9" ht="20" customHeight="1" x14ac:dyDescent="0.15">
      <c r="A123" s="51">
        <v>1121</v>
      </c>
      <c r="B123" s="5" t="s">
        <v>132</v>
      </c>
      <c r="C123" s="6" t="s">
        <v>15</v>
      </c>
      <c r="D123" s="6" t="s">
        <v>29</v>
      </c>
      <c r="E123" s="6" t="s">
        <v>44</v>
      </c>
      <c r="F123" s="7">
        <v>2</v>
      </c>
      <c r="G123" s="7">
        <v>12</v>
      </c>
      <c r="H123" s="7">
        <v>24</v>
      </c>
      <c r="I123" s="7">
        <v>8.2100000000000009</v>
      </c>
    </row>
    <row r="124" spans="1:9" ht="20" customHeight="1" x14ac:dyDescent="0.15">
      <c r="A124" s="51">
        <v>1122</v>
      </c>
      <c r="B124" s="5" t="s">
        <v>133</v>
      </c>
      <c r="C124" s="6" t="s">
        <v>15</v>
      </c>
      <c r="D124" s="6" t="s">
        <v>12</v>
      </c>
      <c r="E124" s="6" t="s">
        <v>26</v>
      </c>
      <c r="F124" s="7">
        <v>5</v>
      </c>
      <c r="G124" s="7">
        <v>12</v>
      </c>
      <c r="H124" s="7">
        <v>60</v>
      </c>
      <c r="I124" s="7">
        <v>12.94</v>
      </c>
    </row>
    <row r="125" spans="1:9" ht="20" customHeight="1" x14ac:dyDescent="0.15">
      <c r="A125" s="51">
        <v>1123</v>
      </c>
      <c r="B125" s="5" t="s">
        <v>134</v>
      </c>
      <c r="C125" s="6" t="s">
        <v>17</v>
      </c>
      <c r="D125" s="6" t="s">
        <v>19</v>
      </c>
      <c r="E125" s="6" t="s">
        <v>24</v>
      </c>
      <c r="F125" s="7">
        <v>2</v>
      </c>
      <c r="G125" s="7">
        <v>40</v>
      </c>
      <c r="H125" s="7">
        <v>80</v>
      </c>
      <c r="I125" s="7">
        <v>15.96</v>
      </c>
    </row>
    <row r="126" spans="1:9" ht="20" customHeight="1" x14ac:dyDescent="0.15">
      <c r="A126" s="51">
        <v>1124</v>
      </c>
      <c r="B126" s="5" t="s">
        <v>135</v>
      </c>
      <c r="C126" s="6" t="s">
        <v>33</v>
      </c>
      <c r="D126" s="6" t="s">
        <v>29</v>
      </c>
      <c r="E126" s="6" t="s">
        <v>44</v>
      </c>
      <c r="F126" s="7">
        <v>8</v>
      </c>
      <c r="G126" s="7">
        <v>75</v>
      </c>
      <c r="H126" s="7">
        <v>600</v>
      </c>
      <c r="I126" s="7">
        <v>112.22</v>
      </c>
    </row>
    <row r="127" spans="1:9" ht="20" customHeight="1" x14ac:dyDescent="0.15">
      <c r="A127" s="51">
        <v>1125</v>
      </c>
      <c r="B127" s="5" t="s">
        <v>96</v>
      </c>
      <c r="C127" s="6" t="s">
        <v>17</v>
      </c>
      <c r="D127" s="6" t="s">
        <v>19</v>
      </c>
      <c r="E127" s="6" t="s">
        <v>20</v>
      </c>
      <c r="F127" s="7">
        <v>2</v>
      </c>
      <c r="G127" s="7">
        <v>120</v>
      </c>
      <c r="H127" s="7">
        <v>240</v>
      </c>
      <c r="I127" s="7">
        <v>67.63</v>
      </c>
    </row>
    <row r="128" spans="1:9" ht="20" customHeight="1" x14ac:dyDescent="0.15">
      <c r="A128" s="51">
        <v>1126</v>
      </c>
      <c r="B128" s="5" t="s">
        <v>136</v>
      </c>
      <c r="C128" s="6" t="s">
        <v>33</v>
      </c>
      <c r="D128" s="6" t="s">
        <v>12</v>
      </c>
      <c r="E128" s="6" t="s">
        <v>34</v>
      </c>
      <c r="F128" s="7">
        <v>1</v>
      </c>
      <c r="G128" s="7">
        <v>120</v>
      </c>
      <c r="H128" s="7">
        <v>120</v>
      </c>
      <c r="I128" s="7">
        <v>32.14</v>
      </c>
    </row>
    <row r="129" spans="1:9" ht="20" customHeight="1" x14ac:dyDescent="0.15">
      <c r="A129" s="51">
        <v>1127</v>
      </c>
      <c r="B129" s="5" t="s">
        <v>137</v>
      </c>
      <c r="C129" s="6" t="s">
        <v>33</v>
      </c>
      <c r="D129" s="6" t="s">
        <v>19</v>
      </c>
      <c r="E129" s="6" t="s">
        <v>24</v>
      </c>
      <c r="F129" s="7">
        <v>8</v>
      </c>
      <c r="G129" s="7">
        <v>250</v>
      </c>
      <c r="H129" s="7">
        <v>2000</v>
      </c>
      <c r="I129" s="7">
        <v>299.45999999999998</v>
      </c>
    </row>
    <row r="130" spans="1:9" ht="20" customHeight="1" x14ac:dyDescent="0.15">
      <c r="A130" s="51">
        <v>1128</v>
      </c>
      <c r="B130" s="5" t="s">
        <v>138</v>
      </c>
      <c r="C130" s="6" t="s">
        <v>33</v>
      </c>
      <c r="D130" s="6" t="s">
        <v>29</v>
      </c>
      <c r="E130" s="6" t="s">
        <v>30</v>
      </c>
      <c r="F130" s="7">
        <v>4</v>
      </c>
      <c r="G130" s="7">
        <v>75</v>
      </c>
      <c r="H130" s="7">
        <v>300</v>
      </c>
      <c r="I130" s="7">
        <v>66.459999999999994</v>
      </c>
    </row>
    <row r="131" spans="1:9" ht="20" customHeight="1" x14ac:dyDescent="0.15">
      <c r="A131" s="51">
        <v>1129</v>
      </c>
      <c r="B131" s="5" t="s">
        <v>86</v>
      </c>
      <c r="C131" s="6" t="s">
        <v>15</v>
      </c>
      <c r="D131" s="6" t="s">
        <v>19</v>
      </c>
      <c r="E131" s="6" t="s">
        <v>72</v>
      </c>
      <c r="F131" s="7">
        <v>8</v>
      </c>
      <c r="G131" s="7">
        <v>500</v>
      </c>
      <c r="H131" s="7">
        <v>4000</v>
      </c>
      <c r="I131" s="7">
        <v>663.29</v>
      </c>
    </row>
    <row r="132" spans="1:9" ht="20" customHeight="1" x14ac:dyDescent="0.15">
      <c r="A132" s="51">
        <v>1130</v>
      </c>
      <c r="B132" s="5" t="s">
        <v>139</v>
      </c>
      <c r="C132" s="6" t="s">
        <v>11</v>
      </c>
      <c r="D132" s="6" t="s">
        <v>29</v>
      </c>
      <c r="E132" s="6" t="s">
        <v>36</v>
      </c>
      <c r="F132" s="7">
        <v>3</v>
      </c>
      <c r="G132" s="7">
        <v>250</v>
      </c>
      <c r="H132" s="7">
        <v>750</v>
      </c>
      <c r="I132" s="7">
        <v>233.18</v>
      </c>
    </row>
    <row r="133" spans="1:9" ht="20" customHeight="1" x14ac:dyDescent="0.15">
      <c r="A133" s="51">
        <v>1131</v>
      </c>
      <c r="B133" s="5" t="s">
        <v>89</v>
      </c>
      <c r="C133" s="6" t="s">
        <v>15</v>
      </c>
      <c r="D133" s="6" t="s">
        <v>12</v>
      </c>
      <c r="E133" s="6" t="s">
        <v>38</v>
      </c>
      <c r="F133" s="7">
        <v>1</v>
      </c>
      <c r="G133" s="7">
        <v>40</v>
      </c>
      <c r="H133" s="7">
        <v>40</v>
      </c>
      <c r="I133" s="7">
        <v>6.92</v>
      </c>
    </row>
    <row r="134" spans="1:9" ht="20" customHeight="1" x14ac:dyDescent="0.15">
      <c r="A134" s="51">
        <v>1132</v>
      </c>
      <c r="B134" s="5" t="s">
        <v>140</v>
      </c>
      <c r="C134" s="6" t="s">
        <v>11</v>
      </c>
      <c r="D134" s="6" t="s">
        <v>19</v>
      </c>
      <c r="E134" s="6" t="s">
        <v>24</v>
      </c>
      <c r="F134" s="7">
        <v>5</v>
      </c>
      <c r="G134" s="7">
        <v>250</v>
      </c>
      <c r="H134" s="7">
        <v>1250</v>
      </c>
      <c r="I134" s="7">
        <v>296.22000000000003</v>
      </c>
    </row>
    <row r="135" spans="1:9" ht="20" customHeight="1" x14ac:dyDescent="0.15">
      <c r="A135" s="51">
        <v>1133</v>
      </c>
      <c r="B135" s="5" t="s">
        <v>141</v>
      </c>
      <c r="C135" s="6" t="s">
        <v>11</v>
      </c>
      <c r="D135" s="6" t="s">
        <v>29</v>
      </c>
      <c r="E135" s="6" t="s">
        <v>44</v>
      </c>
      <c r="F135" s="7">
        <v>6</v>
      </c>
      <c r="G135" s="7">
        <v>900</v>
      </c>
      <c r="H135" s="7">
        <v>5400</v>
      </c>
      <c r="I135" s="7">
        <v>1683.26</v>
      </c>
    </row>
    <row r="136" spans="1:9" ht="20" customHeight="1" x14ac:dyDescent="0.15">
      <c r="A136" s="51">
        <v>1134</v>
      </c>
      <c r="B136" s="5" t="s">
        <v>142</v>
      </c>
      <c r="C136" s="6" t="s">
        <v>11</v>
      </c>
      <c r="D136" s="6" t="s">
        <v>19</v>
      </c>
      <c r="E136" s="6" t="s">
        <v>72</v>
      </c>
      <c r="F136" s="7">
        <v>4</v>
      </c>
      <c r="G136" s="7">
        <v>25</v>
      </c>
      <c r="H136" s="7">
        <v>100</v>
      </c>
      <c r="I136" s="7">
        <v>18.02</v>
      </c>
    </row>
    <row r="137" spans="1:9" ht="20" customHeight="1" x14ac:dyDescent="0.15">
      <c r="A137" s="51">
        <v>1135</v>
      </c>
      <c r="B137" s="5" t="s">
        <v>143</v>
      </c>
      <c r="C137" s="6" t="s">
        <v>17</v>
      </c>
      <c r="D137" s="6" t="s">
        <v>29</v>
      </c>
      <c r="E137" s="6" t="s">
        <v>65</v>
      </c>
      <c r="F137" s="7">
        <v>5</v>
      </c>
      <c r="G137" s="7">
        <v>12</v>
      </c>
      <c r="H137" s="7">
        <v>60</v>
      </c>
      <c r="I137" s="7">
        <v>3.83</v>
      </c>
    </row>
    <row r="138" spans="1:9" ht="20" customHeight="1" x14ac:dyDescent="0.15">
      <c r="A138" s="51">
        <v>1136</v>
      </c>
      <c r="B138" s="5" t="s">
        <v>144</v>
      </c>
      <c r="C138" s="6" t="s">
        <v>15</v>
      </c>
      <c r="D138" s="6" t="s">
        <v>29</v>
      </c>
      <c r="E138" s="6" t="s">
        <v>30</v>
      </c>
      <c r="F138" s="7">
        <v>7</v>
      </c>
      <c r="G138" s="7">
        <v>40</v>
      </c>
      <c r="H138" s="7">
        <v>280</v>
      </c>
      <c r="I138" s="7">
        <v>34.51</v>
      </c>
    </row>
    <row r="139" spans="1:9" ht="20" customHeight="1" x14ac:dyDescent="0.15">
      <c r="A139" s="51">
        <v>1137</v>
      </c>
      <c r="B139" s="5" t="s">
        <v>145</v>
      </c>
      <c r="C139" s="6" t="s">
        <v>33</v>
      </c>
      <c r="D139" s="6" t="s">
        <v>19</v>
      </c>
      <c r="E139" s="6" t="s">
        <v>20</v>
      </c>
      <c r="F139" s="7">
        <v>2</v>
      </c>
      <c r="G139" s="7">
        <v>500</v>
      </c>
      <c r="H139" s="7">
        <v>1000</v>
      </c>
      <c r="I139" s="7">
        <v>235.91</v>
      </c>
    </row>
    <row r="140" spans="1:9" ht="20" customHeight="1" x14ac:dyDescent="0.15">
      <c r="A140" s="51">
        <v>1138</v>
      </c>
      <c r="B140" s="5" t="s">
        <v>146</v>
      </c>
      <c r="C140" s="6" t="s">
        <v>17</v>
      </c>
      <c r="D140" s="6" t="s">
        <v>12</v>
      </c>
      <c r="E140" s="6" t="s">
        <v>26</v>
      </c>
      <c r="F140" s="7">
        <v>4</v>
      </c>
      <c r="G140" s="7">
        <v>900</v>
      </c>
      <c r="H140" s="7">
        <v>3600</v>
      </c>
      <c r="I140" s="7">
        <v>868.94</v>
      </c>
    </row>
    <row r="141" spans="1:9" ht="20" customHeight="1" x14ac:dyDescent="0.15">
      <c r="A141" s="51">
        <v>1139</v>
      </c>
      <c r="B141" s="5" t="s">
        <v>147</v>
      </c>
      <c r="C141" s="6" t="s">
        <v>11</v>
      </c>
      <c r="D141" s="6" t="s">
        <v>12</v>
      </c>
      <c r="E141" s="6" t="s">
        <v>13</v>
      </c>
      <c r="F141" s="7">
        <v>8</v>
      </c>
      <c r="G141" s="7">
        <v>120</v>
      </c>
      <c r="H141" s="7">
        <v>960</v>
      </c>
      <c r="I141" s="7">
        <v>243.15</v>
      </c>
    </row>
    <row r="142" spans="1:9" ht="20" customHeight="1" x14ac:dyDescent="0.15">
      <c r="A142" s="51">
        <v>1140</v>
      </c>
      <c r="B142" s="5" t="s">
        <v>148</v>
      </c>
      <c r="C142" s="6" t="s">
        <v>17</v>
      </c>
      <c r="D142" s="6" t="s">
        <v>29</v>
      </c>
      <c r="E142" s="6" t="s">
        <v>30</v>
      </c>
      <c r="F142" s="7">
        <v>5</v>
      </c>
      <c r="G142" s="7">
        <v>500</v>
      </c>
      <c r="H142" s="7">
        <v>2500</v>
      </c>
      <c r="I142" s="7">
        <v>642.74</v>
      </c>
    </row>
    <row r="143" spans="1:9" ht="20" customHeight="1" x14ac:dyDescent="0.15">
      <c r="A143" s="51">
        <v>1141</v>
      </c>
      <c r="B143" s="5" t="s">
        <v>53</v>
      </c>
      <c r="C143" s="6" t="s">
        <v>17</v>
      </c>
      <c r="D143" s="6" t="s">
        <v>19</v>
      </c>
      <c r="E143" s="6" t="s">
        <v>24</v>
      </c>
      <c r="F143" s="7">
        <v>8</v>
      </c>
      <c r="G143" s="7">
        <v>25</v>
      </c>
      <c r="H143" s="7">
        <v>200</v>
      </c>
      <c r="I143" s="7">
        <v>24.23</v>
      </c>
    </row>
    <row r="144" spans="1:9" ht="20" customHeight="1" x14ac:dyDescent="0.15">
      <c r="A144" s="51">
        <v>1142</v>
      </c>
      <c r="B144" s="5" t="s">
        <v>54</v>
      </c>
      <c r="C144" s="6" t="s">
        <v>33</v>
      </c>
      <c r="D144" s="6" t="s">
        <v>12</v>
      </c>
      <c r="E144" s="6" t="s">
        <v>34</v>
      </c>
      <c r="F144" s="7">
        <v>5</v>
      </c>
      <c r="G144" s="7">
        <v>12</v>
      </c>
      <c r="H144" s="7">
        <v>60</v>
      </c>
      <c r="I144" s="7">
        <v>20.6</v>
      </c>
    </row>
    <row r="145" spans="1:9" ht="20" customHeight="1" x14ac:dyDescent="0.15">
      <c r="A145" s="51">
        <v>1143</v>
      </c>
      <c r="B145" s="5" t="s">
        <v>149</v>
      </c>
      <c r="C145" s="6" t="s">
        <v>15</v>
      </c>
      <c r="D145" s="6" t="s">
        <v>29</v>
      </c>
      <c r="E145" s="6" t="s">
        <v>36</v>
      </c>
      <c r="F145" s="7">
        <v>1</v>
      </c>
      <c r="G145" s="7">
        <v>900</v>
      </c>
      <c r="H145" s="7">
        <v>900</v>
      </c>
      <c r="I145" s="7">
        <v>269.87</v>
      </c>
    </row>
    <row r="146" spans="1:9" ht="20" customHeight="1" x14ac:dyDescent="0.15">
      <c r="A146" s="51">
        <v>1144</v>
      </c>
      <c r="B146" s="5" t="s">
        <v>150</v>
      </c>
      <c r="C146" s="6" t="s">
        <v>15</v>
      </c>
      <c r="D146" s="6" t="s">
        <v>12</v>
      </c>
      <c r="E146" s="6" t="s">
        <v>34</v>
      </c>
      <c r="F146" s="7">
        <v>4</v>
      </c>
      <c r="G146" s="7">
        <v>75</v>
      </c>
      <c r="H146" s="7">
        <v>300</v>
      </c>
      <c r="I146" s="7">
        <v>70.88</v>
      </c>
    </row>
    <row r="147" spans="1:9" ht="20" customHeight="1" x14ac:dyDescent="0.15">
      <c r="A147" s="51">
        <v>1145</v>
      </c>
      <c r="B147" s="5" t="s">
        <v>151</v>
      </c>
      <c r="C147" s="6" t="s">
        <v>17</v>
      </c>
      <c r="D147" s="6" t="s">
        <v>12</v>
      </c>
      <c r="E147" s="6" t="s">
        <v>13</v>
      </c>
      <c r="F147" s="7">
        <v>1</v>
      </c>
      <c r="G147" s="7">
        <v>120</v>
      </c>
      <c r="H147" s="7">
        <v>120</v>
      </c>
      <c r="I147" s="7">
        <v>34.39</v>
      </c>
    </row>
    <row r="148" spans="1:9" ht="20" customHeight="1" x14ac:dyDescent="0.15">
      <c r="A148" s="51">
        <v>1146</v>
      </c>
      <c r="B148" s="5" t="s">
        <v>96</v>
      </c>
      <c r="C148" s="6" t="s">
        <v>15</v>
      </c>
      <c r="D148" s="6" t="s">
        <v>12</v>
      </c>
      <c r="E148" s="6" t="s">
        <v>26</v>
      </c>
      <c r="F148" s="7">
        <v>2</v>
      </c>
      <c r="G148" s="7">
        <v>120</v>
      </c>
      <c r="H148" s="7">
        <v>240</v>
      </c>
      <c r="I148" s="7">
        <v>35.520000000000003</v>
      </c>
    </row>
    <row r="149" spans="1:9" ht="20" customHeight="1" x14ac:dyDescent="0.15">
      <c r="A149" s="51">
        <v>1147</v>
      </c>
      <c r="B149" s="5" t="s">
        <v>152</v>
      </c>
      <c r="C149" s="6" t="s">
        <v>33</v>
      </c>
      <c r="D149" s="6" t="s">
        <v>19</v>
      </c>
      <c r="E149" s="6" t="s">
        <v>20</v>
      </c>
      <c r="F149" s="7">
        <v>6</v>
      </c>
      <c r="G149" s="7">
        <v>120</v>
      </c>
      <c r="H149" s="7">
        <v>720</v>
      </c>
      <c r="I149" s="7">
        <v>215.38</v>
      </c>
    </row>
    <row r="150" spans="1:9" ht="20" customHeight="1" x14ac:dyDescent="0.15">
      <c r="A150" s="51">
        <v>1148</v>
      </c>
      <c r="B150" s="5" t="s">
        <v>127</v>
      </c>
      <c r="C150" s="6" t="s">
        <v>15</v>
      </c>
      <c r="D150" s="6" t="s">
        <v>29</v>
      </c>
      <c r="E150" s="6" t="s">
        <v>30</v>
      </c>
      <c r="F150" s="7">
        <v>2</v>
      </c>
      <c r="G150" s="7">
        <v>900</v>
      </c>
      <c r="H150" s="7">
        <v>1800</v>
      </c>
      <c r="I150" s="7">
        <v>609.96</v>
      </c>
    </row>
    <row r="151" spans="1:9" ht="20" customHeight="1" x14ac:dyDescent="0.15">
      <c r="A151" s="51">
        <v>1149</v>
      </c>
      <c r="B151" s="5" t="s">
        <v>153</v>
      </c>
      <c r="C151" s="6" t="s">
        <v>17</v>
      </c>
      <c r="D151" s="6" t="s">
        <v>12</v>
      </c>
      <c r="E151" s="6" t="s">
        <v>38</v>
      </c>
      <c r="F151" s="7">
        <v>6</v>
      </c>
      <c r="G151" s="7">
        <v>25</v>
      </c>
      <c r="H151" s="7">
        <v>150</v>
      </c>
      <c r="I151" s="7">
        <v>43.08</v>
      </c>
    </row>
    <row r="152" spans="1:9" ht="20" customHeight="1" x14ac:dyDescent="0.15">
      <c r="A152" s="51">
        <v>1150</v>
      </c>
      <c r="B152" s="5" t="s">
        <v>154</v>
      </c>
      <c r="C152" s="6" t="s">
        <v>17</v>
      </c>
      <c r="D152" s="6" t="s">
        <v>12</v>
      </c>
      <c r="E152" s="6" t="s">
        <v>13</v>
      </c>
      <c r="F152" s="7">
        <v>8</v>
      </c>
      <c r="G152" s="7">
        <v>250</v>
      </c>
      <c r="H152" s="7">
        <v>2000</v>
      </c>
      <c r="I152" s="7">
        <v>503.7</v>
      </c>
    </row>
    <row r="153" spans="1:9" ht="20" customHeight="1" x14ac:dyDescent="0.15">
      <c r="A153" s="51">
        <v>1151</v>
      </c>
      <c r="B153" s="5" t="s">
        <v>155</v>
      </c>
      <c r="C153" s="6" t="s">
        <v>11</v>
      </c>
      <c r="D153" s="6" t="s">
        <v>12</v>
      </c>
      <c r="E153" s="6" t="s">
        <v>38</v>
      </c>
      <c r="F153" s="7">
        <v>6</v>
      </c>
      <c r="G153" s="7">
        <v>25</v>
      </c>
      <c r="H153" s="7">
        <v>150</v>
      </c>
      <c r="I153" s="7">
        <v>37.869999999999997</v>
      </c>
    </row>
    <row r="154" spans="1:9" ht="20" customHeight="1" x14ac:dyDescent="0.15">
      <c r="A154" s="51">
        <v>1152</v>
      </c>
      <c r="B154" s="5" t="s">
        <v>91</v>
      </c>
      <c r="C154" s="6" t="s">
        <v>17</v>
      </c>
      <c r="D154" s="6" t="s">
        <v>12</v>
      </c>
      <c r="E154" s="6" t="s">
        <v>34</v>
      </c>
      <c r="F154" s="7">
        <v>4</v>
      </c>
      <c r="G154" s="7">
        <v>25</v>
      </c>
      <c r="H154" s="7">
        <v>100</v>
      </c>
      <c r="I154" s="7">
        <v>24.06</v>
      </c>
    </row>
    <row r="155" spans="1:9" ht="20" customHeight="1" x14ac:dyDescent="0.15">
      <c r="A155" s="51">
        <v>1153</v>
      </c>
      <c r="B155" s="5" t="s">
        <v>156</v>
      </c>
      <c r="C155" s="6" t="s">
        <v>17</v>
      </c>
      <c r="D155" s="6" t="s">
        <v>12</v>
      </c>
      <c r="E155" s="6" t="s">
        <v>38</v>
      </c>
      <c r="F155" s="7">
        <v>2</v>
      </c>
      <c r="G155" s="7">
        <v>40</v>
      </c>
      <c r="H155" s="7">
        <v>80</v>
      </c>
      <c r="I155" s="7">
        <v>5.09</v>
      </c>
    </row>
    <row r="156" spans="1:9" ht="20" customHeight="1" x14ac:dyDescent="0.15">
      <c r="A156" s="51">
        <v>1154</v>
      </c>
      <c r="B156" s="5" t="s">
        <v>157</v>
      </c>
      <c r="C156" s="6" t="s">
        <v>33</v>
      </c>
      <c r="D156" s="6" t="s">
        <v>29</v>
      </c>
      <c r="E156" s="6" t="s">
        <v>36</v>
      </c>
      <c r="F156" s="7">
        <v>2</v>
      </c>
      <c r="G156" s="7">
        <v>75</v>
      </c>
      <c r="H156" s="7">
        <v>150</v>
      </c>
      <c r="I156" s="7">
        <v>47.43</v>
      </c>
    </row>
    <row r="157" spans="1:9" ht="20" customHeight="1" x14ac:dyDescent="0.15">
      <c r="A157" s="51">
        <v>1155</v>
      </c>
      <c r="B157" s="5" t="s">
        <v>89</v>
      </c>
      <c r="C157" s="6" t="s">
        <v>11</v>
      </c>
      <c r="D157" s="6" t="s">
        <v>29</v>
      </c>
      <c r="E157" s="6" t="s">
        <v>30</v>
      </c>
      <c r="F157" s="7">
        <v>7</v>
      </c>
      <c r="G157" s="7">
        <v>40</v>
      </c>
      <c r="H157" s="7">
        <v>280</v>
      </c>
      <c r="I157" s="7">
        <v>88.37</v>
      </c>
    </row>
    <row r="158" spans="1:9" ht="20" customHeight="1" x14ac:dyDescent="0.15">
      <c r="A158" s="51">
        <v>1156</v>
      </c>
      <c r="B158" s="5" t="s">
        <v>14</v>
      </c>
      <c r="C158" s="6" t="s">
        <v>33</v>
      </c>
      <c r="D158" s="6" t="s">
        <v>29</v>
      </c>
      <c r="E158" s="6" t="s">
        <v>44</v>
      </c>
      <c r="F158" s="7">
        <v>5</v>
      </c>
      <c r="G158" s="7">
        <v>12</v>
      </c>
      <c r="H158" s="7">
        <v>60</v>
      </c>
      <c r="I158" s="7">
        <v>15.43</v>
      </c>
    </row>
    <row r="159" spans="1:9" ht="20" customHeight="1" x14ac:dyDescent="0.15">
      <c r="A159" s="51">
        <v>1157</v>
      </c>
      <c r="B159" s="5" t="s">
        <v>105</v>
      </c>
      <c r="C159" s="6" t="s">
        <v>17</v>
      </c>
      <c r="D159" s="6" t="s">
        <v>29</v>
      </c>
      <c r="E159" s="6" t="s">
        <v>65</v>
      </c>
      <c r="F159" s="7">
        <v>6</v>
      </c>
      <c r="G159" s="7">
        <v>25</v>
      </c>
      <c r="H159" s="7">
        <v>150</v>
      </c>
      <c r="I159" s="7">
        <v>51.64</v>
      </c>
    </row>
    <row r="160" spans="1:9" ht="20" customHeight="1" x14ac:dyDescent="0.15">
      <c r="A160" s="51">
        <v>1158</v>
      </c>
      <c r="B160" s="5" t="s">
        <v>59</v>
      </c>
      <c r="C160" s="6" t="s">
        <v>11</v>
      </c>
      <c r="D160" s="6" t="s">
        <v>19</v>
      </c>
      <c r="E160" s="6" t="s">
        <v>24</v>
      </c>
      <c r="F160" s="7">
        <v>5</v>
      </c>
      <c r="G160" s="7">
        <v>75</v>
      </c>
      <c r="H160" s="7">
        <v>375</v>
      </c>
      <c r="I160" s="7">
        <v>127.67</v>
      </c>
    </row>
    <row r="161" spans="1:9" ht="20" customHeight="1" x14ac:dyDescent="0.15">
      <c r="A161" s="51">
        <v>1159</v>
      </c>
      <c r="B161" s="5" t="s">
        <v>111</v>
      </c>
      <c r="C161" s="6" t="s">
        <v>15</v>
      </c>
      <c r="D161" s="6" t="s">
        <v>12</v>
      </c>
      <c r="E161" s="6" t="s">
        <v>26</v>
      </c>
      <c r="F161" s="7">
        <v>1</v>
      </c>
      <c r="G161" s="7">
        <v>12</v>
      </c>
      <c r="H161" s="7">
        <v>12</v>
      </c>
      <c r="I161" s="7">
        <v>3.43</v>
      </c>
    </row>
    <row r="162" spans="1:9" ht="20" customHeight="1" x14ac:dyDescent="0.15">
      <c r="A162" s="51">
        <v>1160</v>
      </c>
      <c r="B162" s="5" t="s">
        <v>138</v>
      </c>
      <c r="C162" s="6" t="s">
        <v>17</v>
      </c>
      <c r="D162" s="6" t="s">
        <v>12</v>
      </c>
      <c r="E162" s="6" t="s">
        <v>26</v>
      </c>
      <c r="F162" s="7">
        <v>2</v>
      </c>
      <c r="G162" s="7">
        <v>75</v>
      </c>
      <c r="H162" s="7">
        <v>150</v>
      </c>
      <c r="I162" s="7">
        <v>33.89</v>
      </c>
    </row>
    <row r="163" spans="1:9" ht="20" customHeight="1" x14ac:dyDescent="0.15">
      <c r="A163" s="51">
        <v>1161</v>
      </c>
      <c r="B163" s="5" t="s">
        <v>94</v>
      </c>
      <c r="C163" s="6" t="s">
        <v>17</v>
      </c>
      <c r="D163" s="6" t="s">
        <v>19</v>
      </c>
      <c r="E163" s="6" t="s">
        <v>22</v>
      </c>
      <c r="F163" s="7">
        <v>5</v>
      </c>
      <c r="G163" s="7">
        <v>40</v>
      </c>
      <c r="H163" s="7">
        <v>200</v>
      </c>
      <c r="I163" s="7">
        <v>69.25</v>
      </c>
    </row>
    <row r="164" spans="1:9" ht="20" customHeight="1" x14ac:dyDescent="0.15">
      <c r="A164" s="51">
        <v>1162</v>
      </c>
      <c r="B164" s="5" t="s">
        <v>52</v>
      </c>
      <c r="C164" s="6" t="s">
        <v>17</v>
      </c>
      <c r="D164" s="6" t="s">
        <v>19</v>
      </c>
      <c r="E164" s="6" t="s">
        <v>22</v>
      </c>
      <c r="F164" s="7">
        <v>1</v>
      </c>
      <c r="G164" s="7">
        <v>40</v>
      </c>
      <c r="H164" s="7">
        <v>40</v>
      </c>
      <c r="I164" s="7">
        <v>2.1800000000000002</v>
      </c>
    </row>
    <row r="165" spans="1:9" ht="20" customHeight="1" x14ac:dyDescent="0.15">
      <c r="A165" s="51">
        <v>1163</v>
      </c>
      <c r="B165" s="5" t="s">
        <v>158</v>
      </c>
      <c r="C165" s="6" t="s">
        <v>11</v>
      </c>
      <c r="D165" s="6" t="s">
        <v>19</v>
      </c>
      <c r="E165" s="6" t="s">
        <v>20</v>
      </c>
      <c r="F165" s="7">
        <v>5</v>
      </c>
      <c r="G165" s="7">
        <v>12</v>
      </c>
      <c r="H165" s="7">
        <v>60</v>
      </c>
      <c r="I165" s="7">
        <v>5.28</v>
      </c>
    </row>
    <row r="166" spans="1:9" ht="20" customHeight="1" x14ac:dyDescent="0.15">
      <c r="A166" s="51">
        <v>1164</v>
      </c>
      <c r="B166" s="5" t="s">
        <v>159</v>
      </c>
      <c r="C166" s="6" t="s">
        <v>11</v>
      </c>
      <c r="D166" s="6" t="s">
        <v>12</v>
      </c>
      <c r="E166" s="6" t="s">
        <v>13</v>
      </c>
      <c r="F166" s="7">
        <v>8</v>
      </c>
      <c r="G166" s="7">
        <v>900</v>
      </c>
      <c r="H166" s="7">
        <v>7200</v>
      </c>
      <c r="I166" s="7">
        <v>2040.52</v>
      </c>
    </row>
    <row r="167" spans="1:9" ht="20" customHeight="1" x14ac:dyDescent="0.15">
      <c r="A167" s="51">
        <v>1165</v>
      </c>
      <c r="B167" s="5" t="s">
        <v>160</v>
      </c>
      <c r="C167" s="6" t="s">
        <v>11</v>
      </c>
      <c r="D167" s="6" t="s">
        <v>29</v>
      </c>
      <c r="E167" s="6" t="s">
        <v>65</v>
      </c>
      <c r="F167" s="7">
        <v>1</v>
      </c>
      <c r="G167" s="7">
        <v>120</v>
      </c>
      <c r="H167" s="7">
        <v>120</v>
      </c>
      <c r="I167" s="7">
        <v>22.49</v>
      </c>
    </row>
    <row r="168" spans="1:9" ht="20" customHeight="1" x14ac:dyDescent="0.15">
      <c r="A168" s="51">
        <v>1166</v>
      </c>
      <c r="B168" s="5" t="s">
        <v>161</v>
      </c>
      <c r="C168" s="6" t="s">
        <v>11</v>
      </c>
      <c r="D168" s="6" t="s">
        <v>29</v>
      </c>
      <c r="E168" s="6" t="s">
        <v>44</v>
      </c>
      <c r="F168" s="7">
        <v>7</v>
      </c>
      <c r="G168" s="7">
        <v>25</v>
      </c>
      <c r="H168" s="7">
        <v>175</v>
      </c>
      <c r="I168" s="7">
        <v>34.49</v>
      </c>
    </row>
    <row r="169" spans="1:9" ht="20" customHeight="1" x14ac:dyDescent="0.15">
      <c r="A169" s="51">
        <v>1167</v>
      </c>
      <c r="B169" s="5" t="s">
        <v>162</v>
      </c>
      <c r="C169" s="6" t="s">
        <v>17</v>
      </c>
      <c r="D169" s="6" t="s">
        <v>19</v>
      </c>
      <c r="E169" s="6" t="s">
        <v>72</v>
      </c>
      <c r="F169" s="7">
        <v>3</v>
      </c>
      <c r="G169" s="7">
        <v>25</v>
      </c>
      <c r="H169" s="7">
        <v>75</v>
      </c>
      <c r="I169" s="7">
        <v>6.59</v>
      </c>
    </row>
    <row r="170" spans="1:9" ht="20" customHeight="1" x14ac:dyDescent="0.15">
      <c r="A170" s="51">
        <v>1168</v>
      </c>
      <c r="B170" s="5" t="s">
        <v>163</v>
      </c>
      <c r="C170" s="6" t="s">
        <v>11</v>
      </c>
      <c r="D170" s="6" t="s">
        <v>29</v>
      </c>
      <c r="E170" s="6" t="s">
        <v>30</v>
      </c>
      <c r="F170" s="7">
        <v>8</v>
      </c>
      <c r="G170" s="7">
        <v>500</v>
      </c>
      <c r="H170" s="7">
        <v>4000</v>
      </c>
      <c r="I170" s="7">
        <v>319.01</v>
      </c>
    </row>
    <row r="171" spans="1:9" ht="20" customHeight="1" x14ac:dyDescent="0.15">
      <c r="A171" s="51">
        <v>1169</v>
      </c>
      <c r="B171" s="5" t="s">
        <v>164</v>
      </c>
      <c r="C171" s="6" t="s">
        <v>17</v>
      </c>
      <c r="D171" s="6" t="s">
        <v>12</v>
      </c>
      <c r="E171" s="6" t="s">
        <v>26</v>
      </c>
      <c r="F171" s="7">
        <v>7</v>
      </c>
      <c r="G171" s="7">
        <v>900</v>
      </c>
      <c r="H171" s="7">
        <v>6300</v>
      </c>
      <c r="I171" s="7">
        <v>1993.49</v>
      </c>
    </row>
    <row r="172" spans="1:9" ht="20" customHeight="1" x14ac:dyDescent="0.15">
      <c r="A172" s="51">
        <v>1170</v>
      </c>
      <c r="B172" s="5" t="s">
        <v>165</v>
      </c>
      <c r="C172" s="6" t="s">
        <v>17</v>
      </c>
      <c r="D172" s="6" t="s">
        <v>29</v>
      </c>
      <c r="E172" s="6" t="s">
        <v>44</v>
      </c>
      <c r="F172" s="7">
        <v>7</v>
      </c>
      <c r="G172" s="7">
        <v>25</v>
      </c>
      <c r="H172" s="7">
        <v>175</v>
      </c>
      <c r="I172" s="7">
        <v>25.16</v>
      </c>
    </row>
    <row r="173" spans="1:9" ht="20" customHeight="1" x14ac:dyDescent="0.15">
      <c r="A173" s="51">
        <v>1171</v>
      </c>
      <c r="B173" s="5" t="s">
        <v>166</v>
      </c>
      <c r="C173" s="6" t="s">
        <v>11</v>
      </c>
      <c r="D173" s="6" t="s">
        <v>29</v>
      </c>
      <c r="E173" s="6" t="s">
        <v>65</v>
      </c>
      <c r="F173" s="7">
        <v>8</v>
      </c>
      <c r="G173" s="7">
        <v>25</v>
      </c>
      <c r="H173" s="7">
        <v>200</v>
      </c>
      <c r="I173" s="7">
        <v>15.47</v>
      </c>
    </row>
    <row r="174" spans="1:9" ht="20" customHeight="1" x14ac:dyDescent="0.15">
      <c r="A174" s="51">
        <v>1172</v>
      </c>
      <c r="B174" s="5" t="s">
        <v>136</v>
      </c>
      <c r="C174" s="6" t="s">
        <v>17</v>
      </c>
      <c r="D174" s="6" t="s">
        <v>29</v>
      </c>
      <c r="E174" s="6" t="s">
        <v>36</v>
      </c>
      <c r="F174" s="7">
        <v>6</v>
      </c>
      <c r="G174" s="7">
        <v>40</v>
      </c>
      <c r="H174" s="7">
        <v>240</v>
      </c>
      <c r="I174" s="7">
        <v>52.06</v>
      </c>
    </row>
    <row r="175" spans="1:9" ht="20" customHeight="1" x14ac:dyDescent="0.15">
      <c r="A175" s="51">
        <v>1173</v>
      </c>
      <c r="B175" s="5" t="s">
        <v>167</v>
      </c>
      <c r="C175" s="6" t="s">
        <v>11</v>
      </c>
      <c r="D175" s="6" t="s">
        <v>12</v>
      </c>
      <c r="E175" s="6" t="s">
        <v>13</v>
      </c>
      <c r="F175" s="7">
        <v>7</v>
      </c>
      <c r="G175" s="7">
        <v>250</v>
      </c>
      <c r="H175" s="7">
        <v>1750</v>
      </c>
      <c r="I175" s="7">
        <v>546.14</v>
      </c>
    </row>
    <row r="176" spans="1:9" ht="20" customHeight="1" x14ac:dyDescent="0.15">
      <c r="A176" s="51">
        <v>1174</v>
      </c>
      <c r="B176" s="5" t="s">
        <v>168</v>
      </c>
      <c r="C176" s="6" t="s">
        <v>15</v>
      </c>
      <c r="D176" s="6" t="s">
        <v>29</v>
      </c>
      <c r="E176" s="6" t="s">
        <v>30</v>
      </c>
      <c r="F176" s="7">
        <v>6</v>
      </c>
      <c r="G176" s="7">
        <v>25</v>
      </c>
      <c r="H176" s="7">
        <v>150</v>
      </c>
      <c r="I176" s="7">
        <v>33.51</v>
      </c>
    </row>
    <row r="177" spans="1:9" ht="20" customHeight="1" x14ac:dyDescent="0.15">
      <c r="A177" s="51">
        <v>1175</v>
      </c>
      <c r="B177" s="5" t="s">
        <v>169</v>
      </c>
      <c r="C177" s="6" t="s">
        <v>17</v>
      </c>
      <c r="D177" s="6" t="s">
        <v>12</v>
      </c>
      <c r="E177" s="6" t="s">
        <v>38</v>
      </c>
      <c r="F177" s="7">
        <v>4</v>
      </c>
      <c r="G177" s="7">
        <v>25</v>
      </c>
      <c r="H177" s="7">
        <v>100</v>
      </c>
      <c r="I177" s="7">
        <v>15.5</v>
      </c>
    </row>
    <row r="178" spans="1:9" ht="20" customHeight="1" x14ac:dyDescent="0.15">
      <c r="A178" s="51">
        <v>1176</v>
      </c>
      <c r="B178" s="5" t="s">
        <v>99</v>
      </c>
      <c r="C178" s="6" t="s">
        <v>11</v>
      </c>
      <c r="D178" s="6" t="s">
        <v>19</v>
      </c>
      <c r="E178" s="6" t="s">
        <v>72</v>
      </c>
      <c r="F178" s="7">
        <v>4</v>
      </c>
      <c r="G178" s="7">
        <v>500</v>
      </c>
      <c r="H178" s="7">
        <v>2000</v>
      </c>
      <c r="I178" s="7">
        <v>607.09</v>
      </c>
    </row>
    <row r="179" spans="1:9" ht="20" customHeight="1" x14ac:dyDescent="0.15">
      <c r="A179" s="51">
        <v>1177</v>
      </c>
      <c r="B179" s="5" t="s">
        <v>170</v>
      </c>
      <c r="C179" s="6" t="s">
        <v>17</v>
      </c>
      <c r="D179" s="6" t="s">
        <v>12</v>
      </c>
      <c r="E179" s="6" t="s">
        <v>34</v>
      </c>
      <c r="F179" s="7">
        <v>1</v>
      </c>
      <c r="G179" s="7">
        <v>40</v>
      </c>
      <c r="H179" s="7">
        <v>40</v>
      </c>
      <c r="I179" s="7">
        <v>5.28</v>
      </c>
    </row>
    <row r="180" spans="1:9" ht="20" customHeight="1" x14ac:dyDescent="0.15">
      <c r="A180" s="51">
        <v>1178</v>
      </c>
      <c r="B180" s="5" t="s">
        <v>171</v>
      </c>
      <c r="C180" s="6" t="s">
        <v>11</v>
      </c>
      <c r="D180" s="6" t="s">
        <v>29</v>
      </c>
      <c r="E180" s="6" t="s">
        <v>36</v>
      </c>
      <c r="F180" s="7">
        <v>3</v>
      </c>
      <c r="G180" s="7">
        <v>40</v>
      </c>
      <c r="H180" s="7">
        <v>120</v>
      </c>
      <c r="I180" s="7">
        <v>26.39</v>
      </c>
    </row>
    <row r="181" spans="1:9" ht="20" customHeight="1" x14ac:dyDescent="0.15">
      <c r="A181" s="51">
        <v>1179</v>
      </c>
      <c r="B181" s="5" t="s">
        <v>59</v>
      </c>
      <c r="C181" s="6" t="s">
        <v>17</v>
      </c>
      <c r="D181" s="6" t="s">
        <v>19</v>
      </c>
      <c r="E181" s="6" t="s">
        <v>22</v>
      </c>
      <c r="F181" s="7">
        <v>2</v>
      </c>
      <c r="G181" s="7">
        <v>75</v>
      </c>
      <c r="H181" s="7">
        <v>150</v>
      </c>
      <c r="I181" s="7">
        <v>24.43</v>
      </c>
    </row>
    <row r="182" spans="1:9" ht="20" customHeight="1" x14ac:dyDescent="0.15">
      <c r="A182" s="51">
        <v>1180</v>
      </c>
      <c r="B182" s="5" t="s">
        <v>172</v>
      </c>
      <c r="C182" s="6" t="s">
        <v>11</v>
      </c>
      <c r="D182" s="6" t="s">
        <v>19</v>
      </c>
      <c r="E182" s="6" t="s">
        <v>72</v>
      </c>
      <c r="F182" s="7">
        <v>5</v>
      </c>
      <c r="G182" s="7">
        <v>250</v>
      </c>
      <c r="H182" s="7">
        <v>1250</v>
      </c>
      <c r="I182" s="7">
        <v>353.81</v>
      </c>
    </row>
    <row r="183" spans="1:9" ht="20" customHeight="1" x14ac:dyDescent="0.15">
      <c r="A183" s="51">
        <v>1181</v>
      </c>
      <c r="B183" s="5" t="s">
        <v>173</v>
      </c>
      <c r="C183" s="6" t="s">
        <v>33</v>
      </c>
      <c r="D183" s="6" t="s">
        <v>19</v>
      </c>
      <c r="E183" s="6" t="s">
        <v>20</v>
      </c>
      <c r="F183" s="7">
        <v>3</v>
      </c>
      <c r="G183" s="7">
        <v>12</v>
      </c>
      <c r="H183" s="7">
        <v>36</v>
      </c>
      <c r="I183" s="7">
        <v>9.08</v>
      </c>
    </row>
    <row r="184" spans="1:9" ht="20" customHeight="1" x14ac:dyDescent="0.15">
      <c r="A184" s="51">
        <v>1182</v>
      </c>
      <c r="B184" s="5" t="s">
        <v>18</v>
      </c>
      <c r="C184" s="6" t="s">
        <v>11</v>
      </c>
      <c r="D184" s="6" t="s">
        <v>12</v>
      </c>
      <c r="E184" s="6" t="s">
        <v>38</v>
      </c>
      <c r="F184" s="7">
        <v>8</v>
      </c>
      <c r="G184" s="7">
        <v>900</v>
      </c>
      <c r="H184" s="7">
        <v>7200</v>
      </c>
      <c r="I184" s="7">
        <v>1254.6400000000001</v>
      </c>
    </row>
    <row r="185" spans="1:9" ht="20" customHeight="1" x14ac:dyDescent="0.15">
      <c r="A185" s="51">
        <v>1183</v>
      </c>
      <c r="B185" s="5" t="s">
        <v>110</v>
      </c>
      <c r="C185" s="6" t="s">
        <v>33</v>
      </c>
      <c r="D185" s="6" t="s">
        <v>29</v>
      </c>
      <c r="E185" s="6" t="s">
        <v>44</v>
      </c>
      <c r="F185" s="7">
        <v>2</v>
      </c>
      <c r="G185" s="7">
        <v>120</v>
      </c>
      <c r="H185" s="7">
        <v>240</v>
      </c>
      <c r="I185" s="7">
        <v>60.83</v>
      </c>
    </row>
    <row r="186" spans="1:9" ht="20" customHeight="1" x14ac:dyDescent="0.15">
      <c r="A186" s="51">
        <v>1184</v>
      </c>
      <c r="B186" s="5" t="s">
        <v>128</v>
      </c>
      <c r="C186" s="6" t="s">
        <v>11</v>
      </c>
      <c r="D186" s="6" t="s">
        <v>12</v>
      </c>
      <c r="E186" s="6" t="s">
        <v>34</v>
      </c>
      <c r="F186" s="7">
        <v>1</v>
      </c>
      <c r="G186" s="7">
        <v>75</v>
      </c>
      <c r="H186" s="7">
        <v>75</v>
      </c>
      <c r="I186" s="7">
        <v>12.64</v>
      </c>
    </row>
    <row r="187" spans="1:9" ht="20" customHeight="1" x14ac:dyDescent="0.15">
      <c r="A187" s="51">
        <v>1185</v>
      </c>
      <c r="B187" s="5" t="s">
        <v>174</v>
      </c>
      <c r="C187" s="6" t="s">
        <v>17</v>
      </c>
      <c r="D187" s="6" t="s">
        <v>19</v>
      </c>
      <c r="E187" s="6" t="s">
        <v>20</v>
      </c>
      <c r="F187" s="7">
        <v>5</v>
      </c>
      <c r="G187" s="7">
        <v>75</v>
      </c>
      <c r="H187" s="7">
        <v>375</v>
      </c>
      <c r="I187" s="7">
        <v>105.08</v>
      </c>
    </row>
    <row r="188" spans="1:9" ht="20" customHeight="1" x14ac:dyDescent="0.15">
      <c r="A188" s="51">
        <v>1186</v>
      </c>
      <c r="B188" s="5" t="s">
        <v>175</v>
      </c>
      <c r="C188" s="6" t="s">
        <v>15</v>
      </c>
      <c r="D188" s="6" t="s">
        <v>29</v>
      </c>
      <c r="E188" s="6" t="s">
        <v>36</v>
      </c>
      <c r="F188" s="7">
        <v>1</v>
      </c>
      <c r="G188" s="7">
        <v>900</v>
      </c>
      <c r="H188" s="7">
        <v>900</v>
      </c>
      <c r="I188" s="7">
        <v>246.69</v>
      </c>
    </row>
    <row r="189" spans="1:9" ht="20" customHeight="1" x14ac:dyDescent="0.15">
      <c r="A189" s="51">
        <v>1187</v>
      </c>
      <c r="B189" s="5" t="s">
        <v>75</v>
      </c>
      <c r="C189" s="6" t="s">
        <v>33</v>
      </c>
      <c r="D189" s="6" t="s">
        <v>29</v>
      </c>
      <c r="E189" s="6" t="s">
        <v>65</v>
      </c>
      <c r="F189" s="7">
        <v>6</v>
      </c>
      <c r="G189" s="7">
        <v>25</v>
      </c>
      <c r="H189" s="7">
        <v>150</v>
      </c>
      <c r="I189" s="7">
        <v>25.37</v>
      </c>
    </row>
    <row r="190" spans="1:9" ht="20" customHeight="1" x14ac:dyDescent="0.15">
      <c r="A190" s="51">
        <v>1188</v>
      </c>
      <c r="B190" s="5" t="s">
        <v>120</v>
      </c>
      <c r="C190" s="6" t="s">
        <v>33</v>
      </c>
      <c r="D190" s="6" t="s">
        <v>19</v>
      </c>
      <c r="E190" s="6" t="s">
        <v>24</v>
      </c>
      <c r="F190" s="7">
        <v>2</v>
      </c>
      <c r="G190" s="7">
        <v>250</v>
      </c>
      <c r="H190" s="7">
        <v>500</v>
      </c>
      <c r="I190" s="7">
        <v>111.36</v>
      </c>
    </row>
    <row r="191" spans="1:9" ht="20" customHeight="1" x14ac:dyDescent="0.15">
      <c r="A191" s="51">
        <v>1189</v>
      </c>
      <c r="B191" s="5" t="s">
        <v>112</v>
      </c>
      <c r="C191" s="6" t="s">
        <v>15</v>
      </c>
      <c r="D191" s="6" t="s">
        <v>12</v>
      </c>
      <c r="E191" s="6" t="s">
        <v>38</v>
      </c>
      <c r="F191" s="7">
        <v>5</v>
      </c>
      <c r="G191" s="7">
        <v>25</v>
      </c>
      <c r="H191" s="7">
        <v>125</v>
      </c>
      <c r="I191" s="7">
        <v>21.44</v>
      </c>
    </row>
    <row r="192" spans="1:9" ht="20" customHeight="1" x14ac:dyDescent="0.15">
      <c r="A192" s="51">
        <v>1190</v>
      </c>
      <c r="B192" s="5" t="s">
        <v>108</v>
      </c>
      <c r="C192" s="6" t="s">
        <v>15</v>
      </c>
      <c r="D192" s="6" t="s">
        <v>12</v>
      </c>
      <c r="E192" s="6" t="s">
        <v>38</v>
      </c>
      <c r="F192" s="7">
        <v>6</v>
      </c>
      <c r="G192" s="7">
        <v>25</v>
      </c>
      <c r="H192" s="7">
        <v>150</v>
      </c>
      <c r="I192" s="7">
        <v>27.15</v>
      </c>
    </row>
    <row r="193" spans="1:9" ht="20" customHeight="1" x14ac:dyDescent="0.15">
      <c r="A193" s="51">
        <v>1191</v>
      </c>
      <c r="B193" s="5" t="s">
        <v>50</v>
      </c>
      <c r="C193" s="6" t="s">
        <v>15</v>
      </c>
      <c r="D193" s="6" t="s">
        <v>29</v>
      </c>
      <c r="E193" s="6" t="s">
        <v>44</v>
      </c>
      <c r="F193" s="7">
        <v>2</v>
      </c>
      <c r="G193" s="7">
        <v>500</v>
      </c>
      <c r="H193" s="7">
        <v>1000</v>
      </c>
      <c r="I193" s="7">
        <v>311.16000000000003</v>
      </c>
    </row>
    <row r="194" spans="1:9" ht="20" customHeight="1" x14ac:dyDescent="0.15">
      <c r="A194" s="51">
        <v>1192</v>
      </c>
      <c r="B194" s="5" t="s">
        <v>176</v>
      </c>
      <c r="C194" s="6" t="s">
        <v>17</v>
      </c>
      <c r="D194" s="6" t="s">
        <v>29</v>
      </c>
      <c r="E194" s="6" t="s">
        <v>65</v>
      </c>
      <c r="F194" s="7">
        <v>2</v>
      </c>
      <c r="G194" s="7">
        <v>25</v>
      </c>
      <c r="H194" s="7">
        <v>50</v>
      </c>
      <c r="I194" s="7">
        <v>10.46</v>
      </c>
    </row>
    <row r="195" spans="1:9" ht="20" customHeight="1" x14ac:dyDescent="0.15">
      <c r="A195" s="51">
        <v>1193</v>
      </c>
      <c r="B195" s="5" t="s">
        <v>177</v>
      </c>
      <c r="C195" s="6" t="s">
        <v>15</v>
      </c>
      <c r="D195" s="6" t="s">
        <v>29</v>
      </c>
      <c r="E195" s="6" t="s">
        <v>65</v>
      </c>
      <c r="F195" s="7">
        <v>4</v>
      </c>
      <c r="G195" s="7">
        <v>25</v>
      </c>
      <c r="H195" s="7">
        <v>100</v>
      </c>
      <c r="I195" s="7">
        <v>9.39</v>
      </c>
    </row>
    <row r="196" spans="1:9" ht="20" customHeight="1" x14ac:dyDescent="0.15">
      <c r="A196" s="51">
        <v>1194</v>
      </c>
      <c r="B196" s="5" t="s">
        <v>178</v>
      </c>
      <c r="C196" s="6" t="s">
        <v>33</v>
      </c>
      <c r="D196" s="6" t="s">
        <v>12</v>
      </c>
      <c r="E196" s="6" t="s">
        <v>26</v>
      </c>
      <c r="F196" s="7">
        <v>2</v>
      </c>
      <c r="G196" s="7">
        <v>40</v>
      </c>
      <c r="H196" s="7">
        <v>80</v>
      </c>
      <c r="I196" s="7">
        <v>26.83</v>
      </c>
    </row>
    <row r="197" spans="1:9" ht="20" customHeight="1" x14ac:dyDescent="0.15">
      <c r="A197" s="51">
        <v>1195</v>
      </c>
      <c r="B197" s="5" t="s">
        <v>179</v>
      </c>
      <c r="C197" s="6" t="s">
        <v>33</v>
      </c>
      <c r="D197" s="6" t="s">
        <v>29</v>
      </c>
      <c r="E197" s="6" t="s">
        <v>44</v>
      </c>
      <c r="F197" s="7">
        <v>6</v>
      </c>
      <c r="G197" s="7">
        <v>250</v>
      </c>
      <c r="H197" s="7">
        <v>1500</v>
      </c>
      <c r="I197" s="7">
        <v>142.93</v>
      </c>
    </row>
    <row r="198" spans="1:9" ht="20" customHeight="1" x14ac:dyDescent="0.15">
      <c r="A198" s="51">
        <v>1196</v>
      </c>
      <c r="B198" s="5" t="s">
        <v>180</v>
      </c>
      <c r="C198" s="6" t="s">
        <v>17</v>
      </c>
      <c r="D198" s="6" t="s">
        <v>29</v>
      </c>
      <c r="E198" s="6" t="s">
        <v>30</v>
      </c>
      <c r="F198" s="7">
        <v>5</v>
      </c>
      <c r="G198" s="7">
        <v>12</v>
      </c>
      <c r="H198" s="7">
        <v>60</v>
      </c>
      <c r="I198" s="7">
        <v>9.33</v>
      </c>
    </row>
    <row r="199" spans="1:9" ht="20" customHeight="1" x14ac:dyDescent="0.15">
      <c r="A199" s="51">
        <v>1197</v>
      </c>
      <c r="B199" s="5" t="s">
        <v>149</v>
      </c>
      <c r="C199" s="6" t="s">
        <v>11</v>
      </c>
      <c r="D199" s="6" t="s">
        <v>29</v>
      </c>
      <c r="E199" s="6" t="s">
        <v>44</v>
      </c>
      <c r="F199" s="7">
        <v>1</v>
      </c>
      <c r="G199" s="7">
        <v>12</v>
      </c>
      <c r="H199" s="7">
        <v>12</v>
      </c>
      <c r="I199" s="7">
        <v>1.93</v>
      </c>
    </row>
    <row r="200" spans="1:9" ht="20" customHeight="1" x14ac:dyDescent="0.15">
      <c r="A200" s="51">
        <v>1198</v>
      </c>
      <c r="B200" s="5" t="s">
        <v>75</v>
      </c>
      <c r="C200" s="6" t="s">
        <v>33</v>
      </c>
      <c r="D200" s="6" t="s">
        <v>12</v>
      </c>
      <c r="E200" s="6" t="s">
        <v>13</v>
      </c>
      <c r="F200" s="7">
        <v>7</v>
      </c>
      <c r="G200" s="7">
        <v>900</v>
      </c>
      <c r="H200" s="7">
        <v>6300</v>
      </c>
      <c r="I200" s="7">
        <v>1411.82</v>
      </c>
    </row>
    <row r="201" spans="1:9" ht="20" customHeight="1" x14ac:dyDescent="0.15">
      <c r="A201" s="51">
        <v>1199</v>
      </c>
      <c r="B201" s="5" t="s">
        <v>181</v>
      </c>
      <c r="C201" s="6" t="s">
        <v>33</v>
      </c>
      <c r="D201" s="6" t="s">
        <v>12</v>
      </c>
      <c r="E201" s="6" t="s">
        <v>26</v>
      </c>
      <c r="F201" s="7">
        <v>6</v>
      </c>
      <c r="G201" s="7">
        <v>900</v>
      </c>
      <c r="H201" s="7">
        <v>5400</v>
      </c>
      <c r="I201" s="7">
        <v>1082.22</v>
      </c>
    </row>
    <row r="202" spans="1:9" ht="20" customHeight="1" x14ac:dyDescent="0.15">
      <c r="A202" s="51">
        <v>1200</v>
      </c>
      <c r="B202" s="5" t="s">
        <v>82</v>
      </c>
      <c r="C202" s="6" t="s">
        <v>33</v>
      </c>
      <c r="D202" s="6" t="s">
        <v>19</v>
      </c>
      <c r="E202" s="6" t="s">
        <v>72</v>
      </c>
      <c r="F202" s="7">
        <v>2</v>
      </c>
      <c r="G202" s="7">
        <v>40</v>
      </c>
      <c r="H202" s="7">
        <v>80</v>
      </c>
      <c r="I202" s="7">
        <v>4.9400000000000004</v>
      </c>
    </row>
    <row r="203" spans="1:9" ht="20" customHeight="1" x14ac:dyDescent="0.15">
      <c r="A203" s="51">
        <v>1201</v>
      </c>
      <c r="B203" s="5" t="s">
        <v>182</v>
      </c>
      <c r="C203" s="6" t="s">
        <v>33</v>
      </c>
      <c r="D203" s="6" t="s">
        <v>29</v>
      </c>
      <c r="E203" s="6" t="s">
        <v>65</v>
      </c>
      <c r="F203" s="7">
        <v>6</v>
      </c>
      <c r="G203" s="7">
        <v>250</v>
      </c>
      <c r="H203" s="7">
        <v>1500</v>
      </c>
      <c r="I203" s="7">
        <v>488.07</v>
      </c>
    </row>
    <row r="204" spans="1:9" ht="20" customHeight="1" x14ac:dyDescent="0.15">
      <c r="A204" s="51">
        <v>1202</v>
      </c>
      <c r="B204" s="5" t="s">
        <v>183</v>
      </c>
      <c r="C204" s="6" t="s">
        <v>33</v>
      </c>
      <c r="D204" s="6" t="s">
        <v>29</v>
      </c>
      <c r="E204" s="6" t="s">
        <v>36</v>
      </c>
      <c r="F204" s="7">
        <v>6</v>
      </c>
      <c r="G204" s="7">
        <v>25</v>
      </c>
      <c r="H204" s="7">
        <v>150</v>
      </c>
      <c r="I204" s="7">
        <v>22.34</v>
      </c>
    </row>
    <row r="205" spans="1:9" ht="20" customHeight="1" x14ac:dyDescent="0.15">
      <c r="A205" s="51">
        <v>1203</v>
      </c>
      <c r="B205" s="5" t="s">
        <v>86</v>
      </c>
      <c r="C205" s="6" t="s">
        <v>15</v>
      </c>
      <c r="D205" s="6" t="s">
        <v>29</v>
      </c>
      <c r="E205" s="6" t="s">
        <v>30</v>
      </c>
      <c r="F205" s="7">
        <v>3</v>
      </c>
      <c r="G205" s="7">
        <v>250</v>
      </c>
      <c r="H205" s="7">
        <v>750</v>
      </c>
      <c r="I205" s="7">
        <v>55.84</v>
      </c>
    </row>
    <row r="206" spans="1:9" ht="20" customHeight="1" x14ac:dyDescent="0.15">
      <c r="A206" s="51">
        <v>1204</v>
      </c>
      <c r="B206" s="5" t="s">
        <v>166</v>
      </c>
      <c r="C206" s="6" t="s">
        <v>17</v>
      </c>
      <c r="D206" s="6" t="s">
        <v>29</v>
      </c>
      <c r="E206" s="6" t="s">
        <v>30</v>
      </c>
      <c r="F206" s="7">
        <v>7</v>
      </c>
      <c r="G206" s="7">
        <v>40</v>
      </c>
      <c r="H206" s="7">
        <v>280</v>
      </c>
      <c r="I206" s="7">
        <v>63.98</v>
      </c>
    </row>
    <row r="207" spans="1:9" ht="20" customHeight="1" x14ac:dyDescent="0.15">
      <c r="A207" s="51">
        <v>1205</v>
      </c>
      <c r="B207" s="5" t="s">
        <v>184</v>
      </c>
      <c r="C207" s="6" t="s">
        <v>11</v>
      </c>
      <c r="D207" s="6" t="s">
        <v>12</v>
      </c>
      <c r="E207" s="6" t="s">
        <v>38</v>
      </c>
      <c r="F207" s="7">
        <v>6</v>
      </c>
      <c r="G207" s="7">
        <v>40</v>
      </c>
      <c r="H207" s="7">
        <v>240</v>
      </c>
      <c r="I207" s="7">
        <v>60.25</v>
      </c>
    </row>
    <row r="208" spans="1:9" ht="20" customHeight="1" x14ac:dyDescent="0.15">
      <c r="A208" s="51">
        <v>1206</v>
      </c>
      <c r="B208" s="5" t="s">
        <v>185</v>
      </c>
      <c r="C208" s="6" t="s">
        <v>15</v>
      </c>
      <c r="D208" s="6" t="s">
        <v>12</v>
      </c>
      <c r="E208" s="6" t="s">
        <v>38</v>
      </c>
      <c r="F208" s="7">
        <v>6</v>
      </c>
      <c r="G208" s="7">
        <v>12</v>
      </c>
      <c r="H208" s="7">
        <v>72</v>
      </c>
      <c r="I208" s="7">
        <v>11.43</v>
      </c>
    </row>
    <row r="209" spans="1:9" ht="20" customHeight="1" x14ac:dyDescent="0.15">
      <c r="A209" s="51">
        <v>1207</v>
      </c>
      <c r="B209" s="5" t="s">
        <v>186</v>
      </c>
      <c r="C209" s="6" t="s">
        <v>11</v>
      </c>
      <c r="D209" s="6" t="s">
        <v>29</v>
      </c>
      <c r="E209" s="6" t="s">
        <v>44</v>
      </c>
      <c r="F209" s="7">
        <v>4</v>
      </c>
      <c r="G209" s="7">
        <v>75</v>
      </c>
      <c r="H209" s="7">
        <v>300</v>
      </c>
      <c r="I209" s="7">
        <v>105</v>
      </c>
    </row>
    <row r="210" spans="1:9" ht="20" customHeight="1" x14ac:dyDescent="0.15">
      <c r="A210" s="51">
        <v>1208</v>
      </c>
      <c r="B210" s="5" t="s">
        <v>187</v>
      </c>
      <c r="C210" s="6" t="s">
        <v>15</v>
      </c>
      <c r="D210" s="6" t="s">
        <v>29</v>
      </c>
      <c r="E210" s="6" t="s">
        <v>36</v>
      </c>
      <c r="F210" s="7">
        <v>1</v>
      </c>
      <c r="G210" s="7">
        <v>250</v>
      </c>
      <c r="H210" s="7">
        <v>250</v>
      </c>
      <c r="I210" s="7">
        <v>78.23</v>
      </c>
    </row>
    <row r="211" spans="1:9" ht="20" customHeight="1" x14ac:dyDescent="0.15">
      <c r="A211" s="51">
        <v>1209</v>
      </c>
      <c r="B211" s="5" t="s">
        <v>188</v>
      </c>
      <c r="C211" s="6" t="s">
        <v>15</v>
      </c>
      <c r="D211" s="6" t="s">
        <v>12</v>
      </c>
      <c r="E211" s="6" t="s">
        <v>38</v>
      </c>
      <c r="F211" s="7">
        <v>3</v>
      </c>
      <c r="G211" s="7">
        <v>40</v>
      </c>
      <c r="H211" s="7">
        <v>120</v>
      </c>
      <c r="I211" s="7">
        <v>12.51</v>
      </c>
    </row>
    <row r="212" spans="1:9" ht="20" customHeight="1" x14ac:dyDescent="0.15">
      <c r="A212" s="51">
        <v>1210</v>
      </c>
      <c r="B212" s="5" t="s">
        <v>52</v>
      </c>
      <c r="C212" s="6" t="s">
        <v>33</v>
      </c>
      <c r="D212" s="6" t="s">
        <v>12</v>
      </c>
      <c r="E212" s="6" t="s">
        <v>38</v>
      </c>
      <c r="F212" s="7">
        <v>1</v>
      </c>
      <c r="G212" s="7">
        <v>500</v>
      </c>
      <c r="H212" s="7">
        <v>500</v>
      </c>
      <c r="I212" s="7">
        <v>79.64</v>
      </c>
    </row>
    <row r="213" spans="1:9" ht="20" customHeight="1" x14ac:dyDescent="0.15">
      <c r="A213" s="51">
        <v>1211</v>
      </c>
      <c r="B213" s="5" t="s">
        <v>170</v>
      </c>
      <c r="C213" s="6" t="s">
        <v>33</v>
      </c>
      <c r="D213" s="6" t="s">
        <v>12</v>
      </c>
      <c r="E213" s="6" t="s">
        <v>34</v>
      </c>
      <c r="F213" s="7">
        <v>8</v>
      </c>
      <c r="G213" s="7">
        <v>75</v>
      </c>
      <c r="H213" s="7">
        <v>600</v>
      </c>
      <c r="I213" s="7">
        <v>126.12</v>
      </c>
    </row>
    <row r="214" spans="1:9" ht="20" customHeight="1" x14ac:dyDescent="0.15">
      <c r="A214" s="51">
        <v>1212</v>
      </c>
      <c r="B214" s="5" t="s">
        <v>189</v>
      </c>
      <c r="C214" s="6" t="s">
        <v>33</v>
      </c>
      <c r="D214" s="6" t="s">
        <v>19</v>
      </c>
      <c r="E214" s="6" t="s">
        <v>72</v>
      </c>
      <c r="F214" s="7">
        <v>8</v>
      </c>
      <c r="G214" s="7">
        <v>900</v>
      </c>
      <c r="H214" s="7">
        <v>7200</v>
      </c>
      <c r="I214" s="7">
        <v>2021.99</v>
      </c>
    </row>
    <row r="215" spans="1:9" ht="20" customHeight="1" x14ac:dyDescent="0.15">
      <c r="A215" s="51">
        <v>1213</v>
      </c>
      <c r="B215" s="5" t="s">
        <v>190</v>
      </c>
      <c r="C215" s="6" t="s">
        <v>17</v>
      </c>
      <c r="D215" s="6" t="s">
        <v>19</v>
      </c>
      <c r="E215" s="6" t="s">
        <v>20</v>
      </c>
      <c r="F215" s="7">
        <v>3</v>
      </c>
      <c r="G215" s="7">
        <v>120</v>
      </c>
      <c r="H215" s="7">
        <v>360</v>
      </c>
      <c r="I215" s="7">
        <v>23.64</v>
      </c>
    </row>
    <row r="216" spans="1:9" ht="20" customHeight="1" x14ac:dyDescent="0.15">
      <c r="A216" s="51">
        <v>1214</v>
      </c>
      <c r="B216" s="5" t="s">
        <v>45</v>
      </c>
      <c r="C216" s="6" t="s">
        <v>17</v>
      </c>
      <c r="D216" s="6" t="s">
        <v>12</v>
      </c>
      <c r="E216" s="6" t="s">
        <v>13</v>
      </c>
      <c r="F216" s="7">
        <v>2</v>
      </c>
      <c r="G216" s="7">
        <v>120</v>
      </c>
      <c r="H216" s="7">
        <v>240</v>
      </c>
      <c r="I216" s="7">
        <v>18.04</v>
      </c>
    </row>
    <row r="217" spans="1:9" ht="20" customHeight="1" x14ac:dyDescent="0.15">
      <c r="A217" s="51">
        <v>1215</v>
      </c>
      <c r="B217" s="5" t="s">
        <v>79</v>
      </c>
      <c r="C217" s="6" t="s">
        <v>33</v>
      </c>
      <c r="D217" s="6" t="s">
        <v>29</v>
      </c>
      <c r="E217" s="6" t="s">
        <v>65</v>
      </c>
      <c r="F217" s="7">
        <v>7</v>
      </c>
      <c r="G217" s="7">
        <v>25</v>
      </c>
      <c r="H217" s="7">
        <v>175</v>
      </c>
      <c r="I217" s="7">
        <v>58.44</v>
      </c>
    </row>
    <row r="218" spans="1:9" ht="20" customHeight="1" x14ac:dyDescent="0.15">
      <c r="A218" s="51">
        <v>1216</v>
      </c>
      <c r="B218" s="5" t="s">
        <v>191</v>
      </c>
      <c r="C218" s="6" t="s">
        <v>15</v>
      </c>
      <c r="D218" s="6" t="s">
        <v>29</v>
      </c>
      <c r="E218" s="6" t="s">
        <v>36</v>
      </c>
      <c r="F218" s="7">
        <v>7</v>
      </c>
      <c r="G218" s="7">
        <v>12</v>
      </c>
      <c r="H218" s="7">
        <v>84</v>
      </c>
      <c r="I218" s="7">
        <v>14.19</v>
      </c>
    </row>
    <row r="219" spans="1:9" ht="20" customHeight="1" x14ac:dyDescent="0.15">
      <c r="A219" s="51">
        <v>1217</v>
      </c>
      <c r="B219" s="5" t="s">
        <v>142</v>
      </c>
      <c r="C219" s="6" t="s">
        <v>17</v>
      </c>
      <c r="D219" s="6" t="s">
        <v>29</v>
      </c>
      <c r="E219" s="6" t="s">
        <v>36</v>
      </c>
      <c r="F219" s="7">
        <v>6</v>
      </c>
      <c r="G219" s="7">
        <v>75</v>
      </c>
      <c r="H219" s="7">
        <v>450</v>
      </c>
      <c r="I219" s="7">
        <v>26.31</v>
      </c>
    </row>
    <row r="220" spans="1:9" ht="20" customHeight="1" x14ac:dyDescent="0.15">
      <c r="A220" s="51">
        <v>1218</v>
      </c>
      <c r="B220" s="5" t="s">
        <v>155</v>
      </c>
      <c r="C220" s="6" t="s">
        <v>15</v>
      </c>
      <c r="D220" s="6" t="s">
        <v>19</v>
      </c>
      <c r="E220" s="6" t="s">
        <v>20</v>
      </c>
      <c r="F220" s="7">
        <v>1</v>
      </c>
      <c r="G220" s="7">
        <v>120</v>
      </c>
      <c r="H220" s="7">
        <v>120</v>
      </c>
      <c r="I220" s="7">
        <v>39.03</v>
      </c>
    </row>
    <row r="221" spans="1:9" ht="20" customHeight="1" x14ac:dyDescent="0.15">
      <c r="A221" s="51">
        <v>1219</v>
      </c>
      <c r="B221" s="5" t="s">
        <v>192</v>
      </c>
      <c r="C221" s="6" t="s">
        <v>17</v>
      </c>
      <c r="D221" s="6" t="s">
        <v>12</v>
      </c>
      <c r="E221" s="6" t="s">
        <v>38</v>
      </c>
      <c r="F221" s="7">
        <v>8</v>
      </c>
      <c r="G221" s="7">
        <v>12</v>
      </c>
      <c r="H221" s="7">
        <v>96</v>
      </c>
      <c r="I221" s="7">
        <v>30.89</v>
      </c>
    </row>
    <row r="222" spans="1:9" ht="20" customHeight="1" x14ac:dyDescent="0.15">
      <c r="A222" s="51">
        <v>1220</v>
      </c>
      <c r="B222" s="5" t="s">
        <v>52</v>
      </c>
      <c r="C222" s="6" t="s">
        <v>17</v>
      </c>
      <c r="D222" s="6" t="s">
        <v>19</v>
      </c>
      <c r="E222" s="6" t="s">
        <v>20</v>
      </c>
      <c r="F222" s="7">
        <v>7</v>
      </c>
      <c r="G222" s="7">
        <v>25</v>
      </c>
      <c r="H222" s="7">
        <v>175</v>
      </c>
      <c r="I222" s="7">
        <v>49.5</v>
      </c>
    </row>
    <row r="223" spans="1:9" ht="20" customHeight="1" x14ac:dyDescent="0.15">
      <c r="A223" s="51">
        <v>1221</v>
      </c>
      <c r="B223" s="5" t="s">
        <v>99</v>
      </c>
      <c r="C223" s="6" t="s">
        <v>33</v>
      </c>
      <c r="D223" s="6" t="s">
        <v>19</v>
      </c>
      <c r="E223" s="6" t="s">
        <v>22</v>
      </c>
      <c r="F223" s="7">
        <v>4</v>
      </c>
      <c r="G223" s="7">
        <v>500</v>
      </c>
      <c r="H223" s="7">
        <v>2000</v>
      </c>
      <c r="I223" s="7">
        <v>483.37</v>
      </c>
    </row>
    <row r="224" spans="1:9" ht="20" customHeight="1" x14ac:dyDescent="0.15">
      <c r="A224" s="51">
        <v>1222</v>
      </c>
      <c r="B224" s="5" t="s">
        <v>97</v>
      </c>
      <c r="C224" s="6" t="s">
        <v>15</v>
      </c>
      <c r="D224" s="6" t="s">
        <v>19</v>
      </c>
      <c r="E224" s="6" t="s">
        <v>22</v>
      </c>
      <c r="F224" s="7">
        <v>8</v>
      </c>
      <c r="G224" s="7">
        <v>12</v>
      </c>
      <c r="H224" s="7">
        <v>96</v>
      </c>
      <c r="I224" s="7">
        <v>23</v>
      </c>
    </row>
    <row r="225" spans="1:9" ht="20" customHeight="1" x14ac:dyDescent="0.15">
      <c r="A225" s="51">
        <v>1223</v>
      </c>
      <c r="B225" s="5" t="s">
        <v>193</v>
      </c>
      <c r="C225" s="6" t="s">
        <v>15</v>
      </c>
      <c r="D225" s="6" t="s">
        <v>12</v>
      </c>
      <c r="E225" s="6" t="s">
        <v>26</v>
      </c>
      <c r="F225" s="7">
        <v>5</v>
      </c>
      <c r="G225" s="7">
        <v>500</v>
      </c>
      <c r="H225" s="7">
        <v>2500</v>
      </c>
      <c r="I225" s="7">
        <v>126.17</v>
      </c>
    </row>
    <row r="226" spans="1:9" ht="20" customHeight="1" x14ac:dyDescent="0.15">
      <c r="A226" s="51">
        <v>1224</v>
      </c>
      <c r="B226" s="5" t="s">
        <v>194</v>
      </c>
      <c r="C226" s="6" t="s">
        <v>11</v>
      </c>
      <c r="D226" s="6" t="s">
        <v>12</v>
      </c>
      <c r="E226" s="6" t="s">
        <v>38</v>
      </c>
      <c r="F226" s="7">
        <v>3</v>
      </c>
      <c r="G226" s="7">
        <v>25</v>
      </c>
      <c r="H226" s="7">
        <v>75</v>
      </c>
      <c r="I226" s="7">
        <v>15.53</v>
      </c>
    </row>
    <row r="227" spans="1:9" ht="20" customHeight="1" x14ac:dyDescent="0.15">
      <c r="A227" s="51">
        <v>1225</v>
      </c>
      <c r="B227" s="5" t="s">
        <v>182</v>
      </c>
      <c r="C227" s="6" t="s">
        <v>17</v>
      </c>
      <c r="D227" s="6" t="s">
        <v>12</v>
      </c>
      <c r="E227" s="6" t="s">
        <v>13</v>
      </c>
      <c r="F227" s="7">
        <v>7</v>
      </c>
      <c r="G227" s="7">
        <v>900</v>
      </c>
      <c r="H227" s="7">
        <v>6300</v>
      </c>
      <c r="I227" s="7">
        <v>397.28</v>
      </c>
    </row>
    <row r="228" spans="1:9" ht="20" customHeight="1" x14ac:dyDescent="0.15">
      <c r="A228" s="51">
        <v>1226</v>
      </c>
      <c r="B228" s="5" t="s">
        <v>195</v>
      </c>
      <c r="C228" s="6" t="s">
        <v>11</v>
      </c>
      <c r="D228" s="6" t="s">
        <v>29</v>
      </c>
      <c r="E228" s="6" t="s">
        <v>36</v>
      </c>
      <c r="F228" s="7">
        <v>6</v>
      </c>
      <c r="G228" s="7">
        <v>25</v>
      </c>
      <c r="H228" s="7">
        <v>150</v>
      </c>
      <c r="I228" s="7">
        <v>23.02</v>
      </c>
    </row>
    <row r="229" spans="1:9" ht="20" customHeight="1" x14ac:dyDescent="0.15">
      <c r="A229" s="51">
        <v>1227</v>
      </c>
      <c r="B229" s="5" t="s">
        <v>50</v>
      </c>
      <c r="C229" s="6" t="s">
        <v>15</v>
      </c>
      <c r="D229" s="6" t="s">
        <v>12</v>
      </c>
      <c r="E229" s="6" t="s">
        <v>34</v>
      </c>
      <c r="F229" s="7">
        <v>3</v>
      </c>
      <c r="G229" s="7">
        <v>12</v>
      </c>
      <c r="H229" s="7">
        <v>36</v>
      </c>
      <c r="I229" s="7">
        <v>5.6</v>
      </c>
    </row>
    <row r="230" spans="1:9" ht="20" customHeight="1" x14ac:dyDescent="0.15">
      <c r="A230" s="51">
        <v>1228</v>
      </c>
      <c r="B230" s="5" t="s">
        <v>196</v>
      </c>
      <c r="C230" s="6" t="s">
        <v>33</v>
      </c>
      <c r="D230" s="6" t="s">
        <v>12</v>
      </c>
      <c r="E230" s="6" t="s">
        <v>38</v>
      </c>
      <c r="F230" s="7">
        <v>8</v>
      </c>
      <c r="G230" s="7">
        <v>40</v>
      </c>
      <c r="H230" s="7">
        <v>320</v>
      </c>
      <c r="I230" s="7">
        <v>93.9</v>
      </c>
    </row>
    <row r="231" spans="1:9" ht="20" customHeight="1" x14ac:dyDescent="0.15">
      <c r="A231" s="51">
        <v>1229</v>
      </c>
      <c r="B231" s="5" t="s">
        <v>75</v>
      </c>
      <c r="C231" s="6" t="s">
        <v>17</v>
      </c>
      <c r="D231" s="6" t="s">
        <v>19</v>
      </c>
      <c r="E231" s="6" t="s">
        <v>72</v>
      </c>
      <c r="F231" s="7">
        <v>4</v>
      </c>
      <c r="G231" s="7">
        <v>12</v>
      </c>
      <c r="H231" s="7">
        <v>48</v>
      </c>
      <c r="I231" s="7">
        <v>13.79</v>
      </c>
    </row>
    <row r="232" spans="1:9" ht="20" customHeight="1" x14ac:dyDescent="0.15">
      <c r="A232" s="51">
        <v>1230</v>
      </c>
      <c r="B232" s="5" t="s">
        <v>197</v>
      </c>
      <c r="C232" s="6" t="s">
        <v>15</v>
      </c>
      <c r="D232" s="6" t="s">
        <v>29</v>
      </c>
      <c r="E232" s="6" t="s">
        <v>44</v>
      </c>
      <c r="F232" s="7">
        <v>8</v>
      </c>
      <c r="G232" s="7">
        <v>120</v>
      </c>
      <c r="H232" s="7">
        <v>960</v>
      </c>
      <c r="I232" s="7">
        <v>58.55</v>
      </c>
    </row>
    <row r="233" spans="1:9" ht="20" customHeight="1" x14ac:dyDescent="0.15">
      <c r="A233" s="51">
        <v>1231</v>
      </c>
      <c r="B233" s="5" t="s">
        <v>105</v>
      </c>
      <c r="C233" s="6" t="s">
        <v>33</v>
      </c>
      <c r="D233" s="6" t="s">
        <v>29</v>
      </c>
      <c r="E233" s="6" t="s">
        <v>30</v>
      </c>
      <c r="F233" s="7">
        <v>1</v>
      </c>
      <c r="G233" s="7">
        <v>250</v>
      </c>
      <c r="H233" s="7">
        <v>250</v>
      </c>
      <c r="I233" s="7">
        <v>32.99</v>
      </c>
    </row>
    <row r="234" spans="1:9" ht="20" customHeight="1" x14ac:dyDescent="0.15">
      <c r="A234" s="51">
        <v>1232</v>
      </c>
      <c r="B234" s="5" t="s">
        <v>198</v>
      </c>
      <c r="C234" s="6" t="s">
        <v>33</v>
      </c>
      <c r="D234" s="6" t="s">
        <v>29</v>
      </c>
      <c r="E234" s="6" t="s">
        <v>44</v>
      </c>
      <c r="F234" s="7">
        <v>7</v>
      </c>
      <c r="G234" s="7">
        <v>250</v>
      </c>
      <c r="H234" s="7">
        <v>1750</v>
      </c>
      <c r="I234" s="7">
        <v>598.70000000000005</v>
      </c>
    </row>
    <row r="235" spans="1:9" ht="20" customHeight="1" x14ac:dyDescent="0.15">
      <c r="A235" s="51">
        <v>1233</v>
      </c>
      <c r="B235" s="5" t="s">
        <v>199</v>
      </c>
      <c r="C235" s="6" t="s">
        <v>15</v>
      </c>
      <c r="D235" s="6" t="s">
        <v>29</v>
      </c>
      <c r="E235" s="6" t="s">
        <v>30</v>
      </c>
      <c r="F235" s="7">
        <v>2</v>
      </c>
      <c r="G235" s="7">
        <v>500</v>
      </c>
      <c r="H235" s="7">
        <v>1000</v>
      </c>
      <c r="I235" s="7">
        <v>73.680000000000007</v>
      </c>
    </row>
    <row r="236" spans="1:9" ht="20" customHeight="1" x14ac:dyDescent="0.15">
      <c r="A236" s="51">
        <v>1234</v>
      </c>
      <c r="B236" s="5" t="s">
        <v>200</v>
      </c>
      <c r="C236" s="6" t="s">
        <v>17</v>
      </c>
      <c r="D236" s="6" t="s">
        <v>12</v>
      </c>
      <c r="E236" s="6" t="s">
        <v>34</v>
      </c>
      <c r="F236" s="7">
        <v>6</v>
      </c>
      <c r="G236" s="7">
        <v>25</v>
      </c>
      <c r="H236" s="7">
        <v>150</v>
      </c>
      <c r="I236" s="7">
        <v>11.1</v>
      </c>
    </row>
    <row r="237" spans="1:9" ht="20" customHeight="1" x14ac:dyDescent="0.15">
      <c r="A237" s="51">
        <v>1235</v>
      </c>
      <c r="B237" s="5" t="s">
        <v>201</v>
      </c>
      <c r="C237" s="6" t="s">
        <v>33</v>
      </c>
      <c r="D237" s="6" t="s">
        <v>29</v>
      </c>
      <c r="E237" s="6" t="s">
        <v>44</v>
      </c>
      <c r="F237" s="7">
        <v>7</v>
      </c>
      <c r="G237" s="7">
        <v>40</v>
      </c>
      <c r="H237" s="7">
        <v>280</v>
      </c>
      <c r="I237" s="7">
        <v>71.94</v>
      </c>
    </row>
    <row r="238" spans="1:9" ht="20" customHeight="1" x14ac:dyDescent="0.15">
      <c r="A238" s="51">
        <v>1236</v>
      </c>
      <c r="B238" s="5" t="s">
        <v>60</v>
      </c>
      <c r="C238" s="6" t="s">
        <v>11</v>
      </c>
      <c r="D238" s="6" t="s">
        <v>19</v>
      </c>
      <c r="E238" s="6" t="s">
        <v>72</v>
      </c>
      <c r="F238" s="7">
        <v>7</v>
      </c>
      <c r="G238" s="7">
        <v>120</v>
      </c>
      <c r="H238" s="7">
        <v>840</v>
      </c>
      <c r="I238" s="7">
        <v>203.15</v>
      </c>
    </row>
    <row r="239" spans="1:9" ht="20" customHeight="1" x14ac:dyDescent="0.15">
      <c r="A239" s="51">
        <v>1237</v>
      </c>
      <c r="B239" s="5" t="s">
        <v>202</v>
      </c>
      <c r="C239" s="6" t="s">
        <v>33</v>
      </c>
      <c r="D239" s="6" t="s">
        <v>12</v>
      </c>
      <c r="E239" s="6" t="s">
        <v>38</v>
      </c>
      <c r="F239" s="7">
        <v>6</v>
      </c>
      <c r="G239" s="7">
        <v>40</v>
      </c>
      <c r="H239" s="7">
        <v>240</v>
      </c>
      <c r="I239" s="7">
        <v>80.599999999999994</v>
      </c>
    </row>
    <row r="240" spans="1:9" ht="20" customHeight="1" x14ac:dyDescent="0.15">
      <c r="A240" s="51">
        <v>1238</v>
      </c>
      <c r="B240" s="5" t="s">
        <v>203</v>
      </c>
      <c r="C240" s="6" t="s">
        <v>17</v>
      </c>
      <c r="D240" s="6" t="s">
        <v>19</v>
      </c>
      <c r="E240" s="6" t="s">
        <v>20</v>
      </c>
      <c r="F240" s="7">
        <v>2</v>
      </c>
      <c r="G240" s="7">
        <v>75</v>
      </c>
      <c r="H240" s="7">
        <v>150</v>
      </c>
      <c r="I240" s="7">
        <v>42.53</v>
      </c>
    </row>
    <row r="241" spans="1:9" ht="20" customHeight="1" x14ac:dyDescent="0.15">
      <c r="A241" s="51">
        <v>1239</v>
      </c>
      <c r="B241" s="5" t="s">
        <v>204</v>
      </c>
      <c r="C241" s="6" t="s">
        <v>33</v>
      </c>
      <c r="D241" s="6" t="s">
        <v>29</v>
      </c>
      <c r="E241" s="6" t="s">
        <v>36</v>
      </c>
      <c r="F241" s="7">
        <v>3</v>
      </c>
      <c r="G241" s="7">
        <v>900</v>
      </c>
      <c r="H241" s="7">
        <v>2700</v>
      </c>
      <c r="I241" s="7">
        <v>903.55</v>
      </c>
    </row>
    <row r="242" spans="1:9" ht="20" customHeight="1" x14ac:dyDescent="0.15">
      <c r="A242" s="51">
        <v>1240</v>
      </c>
      <c r="B242" s="5" t="s">
        <v>80</v>
      </c>
      <c r="C242" s="6" t="s">
        <v>15</v>
      </c>
      <c r="D242" s="6" t="s">
        <v>19</v>
      </c>
      <c r="E242" s="6" t="s">
        <v>20</v>
      </c>
      <c r="F242" s="7">
        <v>6</v>
      </c>
      <c r="G242" s="7">
        <v>500</v>
      </c>
      <c r="H242" s="7">
        <v>3000</v>
      </c>
      <c r="I242" s="7">
        <v>432.95</v>
      </c>
    </row>
    <row r="243" spans="1:9" ht="20" customHeight="1" x14ac:dyDescent="0.15">
      <c r="A243" s="51">
        <v>1241</v>
      </c>
      <c r="B243" s="5" t="s">
        <v>37</v>
      </c>
      <c r="C243" s="6" t="s">
        <v>11</v>
      </c>
      <c r="D243" s="6" t="s">
        <v>19</v>
      </c>
      <c r="E243" s="6" t="s">
        <v>22</v>
      </c>
      <c r="F243" s="7">
        <v>3</v>
      </c>
      <c r="G243" s="7">
        <v>900</v>
      </c>
      <c r="H243" s="7">
        <v>2700</v>
      </c>
      <c r="I243" s="7">
        <v>554.37</v>
      </c>
    </row>
    <row r="244" spans="1:9" ht="20" customHeight="1" x14ac:dyDescent="0.15">
      <c r="A244" s="51">
        <v>1242</v>
      </c>
      <c r="B244" s="5" t="s">
        <v>149</v>
      </c>
      <c r="C244" s="6" t="s">
        <v>33</v>
      </c>
      <c r="D244" s="6" t="s">
        <v>29</v>
      </c>
      <c r="E244" s="6" t="s">
        <v>30</v>
      </c>
      <c r="F244" s="7">
        <v>8</v>
      </c>
      <c r="G244" s="7">
        <v>75</v>
      </c>
      <c r="H244" s="7">
        <v>600</v>
      </c>
      <c r="I244" s="7">
        <v>209.35</v>
      </c>
    </row>
    <row r="245" spans="1:9" ht="20" customHeight="1" x14ac:dyDescent="0.15">
      <c r="A245" s="51">
        <v>1243</v>
      </c>
      <c r="B245" s="5" t="s">
        <v>161</v>
      </c>
      <c r="C245" s="6" t="s">
        <v>11</v>
      </c>
      <c r="D245" s="6" t="s">
        <v>19</v>
      </c>
      <c r="E245" s="6" t="s">
        <v>22</v>
      </c>
      <c r="F245" s="7">
        <v>3</v>
      </c>
      <c r="G245" s="7">
        <v>25</v>
      </c>
      <c r="H245" s="7">
        <v>75</v>
      </c>
      <c r="I245" s="7">
        <v>13.92</v>
      </c>
    </row>
    <row r="246" spans="1:9" ht="20" customHeight="1" x14ac:dyDescent="0.15">
      <c r="A246" s="51">
        <v>1244</v>
      </c>
      <c r="B246" s="5" t="s">
        <v>25</v>
      </c>
      <c r="C246" s="6" t="s">
        <v>17</v>
      </c>
      <c r="D246" s="6" t="s">
        <v>12</v>
      </c>
      <c r="E246" s="6" t="s">
        <v>34</v>
      </c>
      <c r="F246" s="7">
        <v>6</v>
      </c>
      <c r="G246" s="7">
        <v>25</v>
      </c>
      <c r="H246" s="7">
        <v>150</v>
      </c>
      <c r="I246" s="7">
        <v>32.25</v>
      </c>
    </row>
    <row r="247" spans="1:9" ht="20" customHeight="1" x14ac:dyDescent="0.15">
      <c r="A247" s="51">
        <v>1245</v>
      </c>
      <c r="B247" s="5" t="s">
        <v>205</v>
      </c>
      <c r="C247" s="6" t="s">
        <v>15</v>
      </c>
      <c r="D247" s="6" t="s">
        <v>19</v>
      </c>
      <c r="E247" s="6" t="s">
        <v>20</v>
      </c>
      <c r="F247" s="7">
        <v>6</v>
      </c>
      <c r="G247" s="7">
        <v>75</v>
      </c>
      <c r="H247" s="7">
        <v>450</v>
      </c>
      <c r="I247" s="7">
        <v>38.880000000000003</v>
      </c>
    </row>
    <row r="248" spans="1:9" ht="20" customHeight="1" x14ac:dyDescent="0.15">
      <c r="A248" s="51">
        <v>1246</v>
      </c>
      <c r="B248" s="5" t="s">
        <v>105</v>
      </c>
      <c r="C248" s="6" t="s">
        <v>33</v>
      </c>
      <c r="D248" s="6" t="s">
        <v>19</v>
      </c>
      <c r="E248" s="6" t="s">
        <v>24</v>
      </c>
      <c r="F248" s="7">
        <v>1</v>
      </c>
      <c r="G248" s="7">
        <v>250</v>
      </c>
      <c r="H248" s="7">
        <v>250</v>
      </c>
      <c r="I248" s="7">
        <v>54.05</v>
      </c>
    </row>
    <row r="249" spans="1:9" ht="20" customHeight="1" x14ac:dyDescent="0.15">
      <c r="A249" s="51">
        <v>1247</v>
      </c>
      <c r="B249" s="5" t="s">
        <v>206</v>
      </c>
      <c r="C249" s="6" t="s">
        <v>33</v>
      </c>
      <c r="D249" s="6" t="s">
        <v>12</v>
      </c>
      <c r="E249" s="6" t="s">
        <v>26</v>
      </c>
      <c r="F249" s="7">
        <v>2</v>
      </c>
      <c r="G249" s="7">
        <v>25</v>
      </c>
      <c r="H249" s="7">
        <v>50</v>
      </c>
      <c r="I249" s="7">
        <v>7.14</v>
      </c>
    </row>
    <row r="250" spans="1:9" ht="20" customHeight="1" x14ac:dyDescent="0.15">
      <c r="A250" s="51">
        <v>1248</v>
      </c>
      <c r="B250" s="5" t="s">
        <v>207</v>
      </c>
      <c r="C250" s="6" t="s">
        <v>33</v>
      </c>
      <c r="D250" s="6" t="s">
        <v>29</v>
      </c>
      <c r="E250" s="6" t="s">
        <v>36</v>
      </c>
      <c r="F250" s="7">
        <v>3</v>
      </c>
      <c r="G250" s="7">
        <v>250</v>
      </c>
      <c r="H250" s="7">
        <v>750</v>
      </c>
      <c r="I250" s="7">
        <v>182.03</v>
      </c>
    </row>
    <row r="251" spans="1:9" ht="20" customHeight="1" x14ac:dyDescent="0.15">
      <c r="A251" s="51">
        <v>1249</v>
      </c>
      <c r="B251" s="5" t="s">
        <v>73</v>
      </c>
      <c r="C251" s="6" t="s">
        <v>33</v>
      </c>
      <c r="D251" s="6" t="s">
        <v>12</v>
      </c>
      <c r="E251" s="6" t="s">
        <v>34</v>
      </c>
      <c r="F251" s="7">
        <v>3</v>
      </c>
      <c r="G251" s="7">
        <v>40</v>
      </c>
      <c r="H251" s="7">
        <v>120</v>
      </c>
      <c r="I251" s="7">
        <v>33.64</v>
      </c>
    </row>
    <row r="252" spans="1:9" ht="20" customHeight="1" x14ac:dyDescent="0.15">
      <c r="A252" s="51">
        <v>1250</v>
      </c>
      <c r="B252" s="5" t="s">
        <v>45</v>
      </c>
      <c r="C252" s="6" t="s">
        <v>17</v>
      </c>
      <c r="D252" s="6" t="s">
        <v>12</v>
      </c>
      <c r="E252" s="6" t="s">
        <v>13</v>
      </c>
      <c r="F252" s="7">
        <v>2</v>
      </c>
      <c r="G252" s="7">
        <v>40</v>
      </c>
      <c r="H252" s="7">
        <v>80</v>
      </c>
      <c r="I252" s="7">
        <v>11.3</v>
      </c>
    </row>
    <row r="253" spans="1:9" ht="20" customHeight="1" x14ac:dyDescent="0.15">
      <c r="A253" s="51">
        <v>1251</v>
      </c>
      <c r="B253" s="5" t="s">
        <v>208</v>
      </c>
      <c r="C253" s="6" t="s">
        <v>15</v>
      </c>
      <c r="D253" s="6" t="s">
        <v>12</v>
      </c>
      <c r="E253" s="6" t="s">
        <v>26</v>
      </c>
      <c r="F253" s="7">
        <v>6</v>
      </c>
      <c r="G253" s="7">
        <v>120</v>
      </c>
      <c r="H253" s="7">
        <v>720</v>
      </c>
      <c r="I253" s="7">
        <v>218.72</v>
      </c>
    </row>
    <row r="254" spans="1:9" ht="20" customHeight="1" x14ac:dyDescent="0.15">
      <c r="A254" s="51">
        <v>1252</v>
      </c>
      <c r="B254" s="5" t="s">
        <v>133</v>
      </c>
      <c r="C254" s="6" t="s">
        <v>15</v>
      </c>
      <c r="D254" s="6" t="s">
        <v>12</v>
      </c>
      <c r="E254" s="6" t="s">
        <v>34</v>
      </c>
      <c r="F254" s="7">
        <v>3</v>
      </c>
      <c r="G254" s="7">
        <v>120</v>
      </c>
      <c r="H254" s="7">
        <v>360</v>
      </c>
      <c r="I254" s="7">
        <v>84.36</v>
      </c>
    </row>
    <row r="255" spans="1:9" ht="20" customHeight="1" x14ac:dyDescent="0.15">
      <c r="A255" s="51">
        <v>1253</v>
      </c>
      <c r="B255" s="5" t="s">
        <v>66</v>
      </c>
      <c r="C255" s="6" t="s">
        <v>11</v>
      </c>
      <c r="D255" s="6" t="s">
        <v>12</v>
      </c>
      <c r="E255" s="6" t="s">
        <v>26</v>
      </c>
      <c r="F255" s="7">
        <v>3</v>
      </c>
      <c r="G255" s="7">
        <v>250</v>
      </c>
      <c r="H255" s="7">
        <v>750</v>
      </c>
      <c r="I255" s="7">
        <v>227.07</v>
      </c>
    </row>
    <row r="256" spans="1:9" ht="20" customHeight="1" x14ac:dyDescent="0.15">
      <c r="A256" s="51">
        <v>1254</v>
      </c>
      <c r="B256" s="5" t="s">
        <v>53</v>
      </c>
      <c r="C256" s="6" t="s">
        <v>33</v>
      </c>
      <c r="D256" s="6" t="s">
        <v>19</v>
      </c>
      <c r="E256" s="6" t="s">
        <v>22</v>
      </c>
      <c r="F256" s="7">
        <v>1</v>
      </c>
      <c r="G256" s="7">
        <v>120</v>
      </c>
      <c r="H256" s="7">
        <v>120</v>
      </c>
      <c r="I256" s="7">
        <v>29.44</v>
      </c>
    </row>
    <row r="257" spans="1:9" ht="20" customHeight="1" x14ac:dyDescent="0.15">
      <c r="A257" s="51">
        <v>1255</v>
      </c>
      <c r="B257" s="5" t="s">
        <v>118</v>
      </c>
      <c r="C257" s="6" t="s">
        <v>33</v>
      </c>
      <c r="D257" s="6" t="s">
        <v>12</v>
      </c>
      <c r="E257" s="6" t="s">
        <v>13</v>
      </c>
      <c r="F257" s="7">
        <v>8</v>
      </c>
      <c r="G257" s="7">
        <v>120</v>
      </c>
      <c r="H257" s="7">
        <v>960</v>
      </c>
      <c r="I257" s="7">
        <v>232.87</v>
      </c>
    </row>
    <row r="258" spans="1:9" ht="20" customHeight="1" x14ac:dyDescent="0.15">
      <c r="A258" s="51">
        <v>1256</v>
      </c>
      <c r="B258" s="5" t="s">
        <v>58</v>
      </c>
      <c r="C258" s="6" t="s">
        <v>15</v>
      </c>
      <c r="D258" s="6" t="s">
        <v>19</v>
      </c>
      <c r="E258" s="6" t="s">
        <v>24</v>
      </c>
      <c r="F258" s="7">
        <v>5</v>
      </c>
      <c r="G258" s="7">
        <v>900</v>
      </c>
      <c r="H258" s="7">
        <v>4500</v>
      </c>
      <c r="I258" s="7">
        <v>323.51</v>
      </c>
    </row>
    <row r="259" spans="1:9" ht="20" customHeight="1" x14ac:dyDescent="0.15">
      <c r="A259" s="51">
        <v>1257</v>
      </c>
      <c r="B259" s="5" t="s">
        <v>209</v>
      </c>
      <c r="C259" s="6" t="s">
        <v>15</v>
      </c>
      <c r="D259" s="6" t="s">
        <v>29</v>
      </c>
      <c r="E259" s="6" t="s">
        <v>44</v>
      </c>
      <c r="F259" s="7">
        <v>8</v>
      </c>
      <c r="G259" s="7">
        <v>900</v>
      </c>
      <c r="H259" s="7">
        <v>7200</v>
      </c>
      <c r="I259" s="7">
        <v>800.69</v>
      </c>
    </row>
    <row r="260" spans="1:9" ht="20" customHeight="1" x14ac:dyDescent="0.15">
      <c r="A260" s="51">
        <v>1258</v>
      </c>
      <c r="B260" s="5" t="s">
        <v>210</v>
      </c>
      <c r="C260" s="6" t="s">
        <v>11</v>
      </c>
      <c r="D260" s="6" t="s">
        <v>29</v>
      </c>
      <c r="E260" s="6" t="s">
        <v>30</v>
      </c>
      <c r="F260" s="7">
        <v>6</v>
      </c>
      <c r="G260" s="7">
        <v>500</v>
      </c>
      <c r="H260" s="7">
        <v>3000</v>
      </c>
      <c r="I260" s="7">
        <v>267.69</v>
      </c>
    </row>
    <row r="261" spans="1:9" ht="20" customHeight="1" x14ac:dyDescent="0.15">
      <c r="A261" s="51">
        <v>1259</v>
      </c>
      <c r="B261" s="5" t="s">
        <v>211</v>
      </c>
      <c r="C261" s="6" t="s">
        <v>15</v>
      </c>
      <c r="D261" s="6" t="s">
        <v>29</v>
      </c>
      <c r="E261" s="6" t="s">
        <v>65</v>
      </c>
      <c r="F261" s="7">
        <v>8</v>
      </c>
      <c r="G261" s="7">
        <v>25</v>
      </c>
      <c r="H261" s="7">
        <v>200</v>
      </c>
      <c r="I261" s="7">
        <v>26.05</v>
      </c>
    </row>
    <row r="262" spans="1:9" ht="20" customHeight="1" x14ac:dyDescent="0.15">
      <c r="A262" s="51">
        <v>1260</v>
      </c>
      <c r="B262" s="5" t="s">
        <v>63</v>
      </c>
      <c r="C262" s="6" t="s">
        <v>15</v>
      </c>
      <c r="D262" s="6" t="s">
        <v>19</v>
      </c>
      <c r="E262" s="6" t="s">
        <v>22</v>
      </c>
      <c r="F262" s="7">
        <v>5</v>
      </c>
      <c r="G262" s="7">
        <v>500</v>
      </c>
      <c r="H262" s="7">
        <v>2500</v>
      </c>
      <c r="I262" s="7">
        <v>773.12</v>
      </c>
    </row>
    <row r="263" spans="1:9" ht="20" customHeight="1" x14ac:dyDescent="0.15">
      <c r="A263" s="51">
        <v>1261</v>
      </c>
      <c r="B263" s="5" t="s">
        <v>35</v>
      </c>
      <c r="C263" s="6" t="s">
        <v>33</v>
      </c>
      <c r="D263" s="6" t="s">
        <v>19</v>
      </c>
      <c r="E263" s="6" t="s">
        <v>72</v>
      </c>
      <c r="F263" s="7">
        <v>6</v>
      </c>
      <c r="G263" s="7">
        <v>75</v>
      </c>
      <c r="H263" s="7">
        <v>450</v>
      </c>
      <c r="I263" s="7">
        <v>125.52</v>
      </c>
    </row>
    <row r="264" spans="1:9" ht="20" customHeight="1" x14ac:dyDescent="0.15">
      <c r="A264" s="51">
        <v>1262</v>
      </c>
      <c r="B264" s="5" t="s">
        <v>212</v>
      </c>
      <c r="C264" s="6" t="s">
        <v>33</v>
      </c>
      <c r="D264" s="6" t="s">
        <v>29</v>
      </c>
      <c r="E264" s="6" t="s">
        <v>30</v>
      </c>
      <c r="F264" s="7">
        <v>8</v>
      </c>
      <c r="G264" s="7">
        <v>12</v>
      </c>
      <c r="H264" s="7">
        <v>96</v>
      </c>
      <c r="I264" s="7">
        <v>7.39</v>
      </c>
    </row>
    <row r="265" spans="1:9" ht="20" customHeight="1" x14ac:dyDescent="0.15">
      <c r="A265" s="51">
        <v>1263</v>
      </c>
      <c r="B265" s="5" t="s">
        <v>213</v>
      </c>
      <c r="C265" s="6" t="s">
        <v>33</v>
      </c>
      <c r="D265" s="6" t="s">
        <v>19</v>
      </c>
      <c r="E265" s="6" t="s">
        <v>20</v>
      </c>
      <c r="F265" s="7">
        <v>6</v>
      </c>
      <c r="G265" s="7">
        <v>12</v>
      </c>
      <c r="H265" s="7">
        <v>72</v>
      </c>
      <c r="I265" s="7">
        <v>4.6900000000000004</v>
      </c>
    </row>
    <row r="266" spans="1:9" ht="20" customHeight="1" x14ac:dyDescent="0.15">
      <c r="A266" s="51">
        <v>1264</v>
      </c>
      <c r="B266" s="5" t="s">
        <v>124</v>
      </c>
      <c r="C266" s="6" t="s">
        <v>17</v>
      </c>
      <c r="D266" s="6" t="s">
        <v>29</v>
      </c>
      <c r="E266" s="6" t="s">
        <v>36</v>
      </c>
      <c r="F266" s="7">
        <v>2</v>
      </c>
      <c r="G266" s="7">
        <v>500</v>
      </c>
      <c r="H266" s="7">
        <v>1000</v>
      </c>
      <c r="I266" s="7">
        <v>90.18</v>
      </c>
    </row>
    <row r="267" spans="1:9" ht="20" customHeight="1" x14ac:dyDescent="0.15">
      <c r="A267" s="51">
        <v>1265</v>
      </c>
      <c r="B267" s="5" t="s">
        <v>37</v>
      </c>
      <c r="C267" s="6" t="s">
        <v>15</v>
      </c>
      <c r="D267" s="6" t="s">
        <v>29</v>
      </c>
      <c r="E267" s="6" t="s">
        <v>30</v>
      </c>
      <c r="F267" s="7">
        <v>1</v>
      </c>
      <c r="G267" s="7">
        <v>500</v>
      </c>
      <c r="H267" s="7">
        <v>500</v>
      </c>
      <c r="I267" s="7">
        <v>32.67</v>
      </c>
    </row>
    <row r="268" spans="1:9" ht="20" customHeight="1" x14ac:dyDescent="0.15">
      <c r="A268" s="51">
        <v>1266</v>
      </c>
      <c r="B268" s="5" t="s">
        <v>130</v>
      </c>
      <c r="C268" s="6" t="s">
        <v>17</v>
      </c>
      <c r="D268" s="6" t="s">
        <v>29</v>
      </c>
      <c r="E268" s="6" t="s">
        <v>30</v>
      </c>
      <c r="F268" s="7">
        <v>2</v>
      </c>
      <c r="G268" s="7">
        <v>500</v>
      </c>
      <c r="H268" s="7">
        <v>1000</v>
      </c>
      <c r="I268" s="7">
        <v>201.28</v>
      </c>
    </row>
    <row r="269" spans="1:9" ht="20" customHeight="1" x14ac:dyDescent="0.15">
      <c r="A269" s="51">
        <v>1267</v>
      </c>
      <c r="B269" s="5" t="s">
        <v>50</v>
      </c>
      <c r="C269" s="6" t="s">
        <v>17</v>
      </c>
      <c r="D269" s="6" t="s">
        <v>12</v>
      </c>
      <c r="E269" s="6" t="s">
        <v>13</v>
      </c>
      <c r="F269" s="7">
        <v>3</v>
      </c>
      <c r="G269" s="7">
        <v>25</v>
      </c>
      <c r="H269" s="7">
        <v>75</v>
      </c>
      <c r="I269" s="7">
        <v>12.61</v>
      </c>
    </row>
    <row r="270" spans="1:9" ht="20" customHeight="1" x14ac:dyDescent="0.15">
      <c r="A270" s="51">
        <v>1268</v>
      </c>
      <c r="B270" s="5" t="s">
        <v>39</v>
      </c>
      <c r="C270" s="6" t="s">
        <v>17</v>
      </c>
      <c r="D270" s="6" t="s">
        <v>19</v>
      </c>
      <c r="E270" s="6" t="s">
        <v>20</v>
      </c>
      <c r="F270" s="7">
        <v>7</v>
      </c>
      <c r="G270" s="7">
        <v>12</v>
      </c>
      <c r="H270" s="7">
        <v>84</v>
      </c>
      <c r="I270" s="7">
        <v>5.34</v>
      </c>
    </row>
    <row r="271" spans="1:9" ht="20" customHeight="1" x14ac:dyDescent="0.15">
      <c r="A271" s="51">
        <v>1269</v>
      </c>
      <c r="B271" s="5" t="s">
        <v>214</v>
      </c>
      <c r="C271" s="6" t="s">
        <v>17</v>
      </c>
      <c r="D271" s="6" t="s">
        <v>29</v>
      </c>
      <c r="E271" s="6" t="s">
        <v>44</v>
      </c>
      <c r="F271" s="7">
        <v>3</v>
      </c>
      <c r="G271" s="7">
        <v>40</v>
      </c>
      <c r="H271" s="7">
        <v>120</v>
      </c>
      <c r="I271" s="7">
        <v>17.809999999999999</v>
      </c>
    </row>
    <row r="272" spans="1:9" ht="20" customHeight="1" x14ac:dyDescent="0.15">
      <c r="A272" s="51">
        <v>1270</v>
      </c>
      <c r="B272" s="5" t="s">
        <v>215</v>
      </c>
      <c r="C272" s="6" t="s">
        <v>33</v>
      </c>
      <c r="D272" s="6" t="s">
        <v>19</v>
      </c>
      <c r="E272" s="6" t="s">
        <v>24</v>
      </c>
      <c r="F272" s="7">
        <v>5</v>
      </c>
      <c r="G272" s="7">
        <v>250</v>
      </c>
      <c r="H272" s="7">
        <v>1250</v>
      </c>
      <c r="I272" s="7">
        <v>252.74</v>
      </c>
    </row>
    <row r="273" spans="1:9" ht="20" customHeight="1" x14ac:dyDescent="0.15">
      <c r="A273" s="51">
        <v>1271</v>
      </c>
      <c r="B273" s="5" t="s">
        <v>154</v>
      </c>
      <c r="C273" s="6" t="s">
        <v>11</v>
      </c>
      <c r="D273" s="6" t="s">
        <v>12</v>
      </c>
      <c r="E273" s="6" t="s">
        <v>34</v>
      </c>
      <c r="F273" s="7">
        <v>8</v>
      </c>
      <c r="G273" s="7">
        <v>12</v>
      </c>
      <c r="H273" s="7">
        <v>96</v>
      </c>
      <c r="I273" s="7">
        <v>15.41</v>
      </c>
    </row>
    <row r="274" spans="1:9" ht="20" customHeight="1" x14ac:dyDescent="0.15">
      <c r="A274" s="51">
        <v>1272</v>
      </c>
      <c r="B274" s="5" t="s">
        <v>89</v>
      </c>
      <c r="C274" s="6" t="s">
        <v>15</v>
      </c>
      <c r="D274" s="6" t="s">
        <v>29</v>
      </c>
      <c r="E274" s="6" t="s">
        <v>30</v>
      </c>
      <c r="F274" s="7">
        <v>1</v>
      </c>
      <c r="G274" s="7">
        <v>900</v>
      </c>
      <c r="H274" s="7">
        <v>900</v>
      </c>
      <c r="I274" s="7">
        <v>116.69</v>
      </c>
    </row>
    <row r="275" spans="1:9" ht="20" customHeight="1" x14ac:dyDescent="0.15">
      <c r="A275" s="51">
        <v>1273</v>
      </c>
      <c r="B275" s="5" t="s">
        <v>216</v>
      </c>
      <c r="C275" s="6" t="s">
        <v>33</v>
      </c>
      <c r="D275" s="6" t="s">
        <v>12</v>
      </c>
      <c r="E275" s="6" t="s">
        <v>13</v>
      </c>
      <c r="F275" s="7">
        <v>8</v>
      </c>
      <c r="G275" s="7">
        <v>40</v>
      </c>
      <c r="H275" s="7">
        <v>320</v>
      </c>
      <c r="I275" s="7">
        <v>66.33</v>
      </c>
    </row>
    <row r="276" spans="1:9" ht="20" customHeight="1" x14ac:dyDescent="0.15">
      <c r="A276" s="51">
        <v>1274</v>
      </c>
      <c r="B276" s="5" t="s">
        <v>139</v>
      </c>
      <c r="C276" s="6" t="s">
        <v>17</v>
      </c>
      <c r="D276" s="6" t="s">
        <v>19</v>
      </c>
      <c r="E276" s="6" t="s">
        <v>20</v>
      </c>
      <c r="F276" s="7">
        <v>1</v>
      </c>
      <c r="G276" s="7">
        <v>25</v>
      </c>
      <c r="H276" s="7">
        <v>25</v>
      </c>
      <c r="I276" s="7">
        <v>2.68</v>
      </c>
    </row>
    <row r="277" spans="1:9" ht="20" customHeight="1" x14ac:dyDescent="0.15">
      <c r="A277" s="51">
        <v>1275</v>
      </c>
      <c r="B277" s="5" t="s">
        <v>214</v>
      </c>
      <c r="C277" s="6" t="s">
        <v>33</v>
      </c>
      <c r="D277" s="6" t="s">
        <v>29</v>
      </c>
      <c r="E277" s="6" t="s">
        <v>65</v>
      </c>
      <c r="F277" s="7">
        <v>7</v>
      </c>
      <c r="G277" s="7">
        <v>75</v>
      </c>
      <c r="H277" s="7">
        <v>525</v>
      </c>
      <c r="I277" s="7">
        <v>90.88</v>
      </c>
    </row>
    <row r="278" spans="1:9" ht="20" customHeight="1" x14ac:dyDescent="0.15">
      <c r="A278" s="51">
        <v>1276</v>
      </c>
      <c r="B278" s="5" t="s">
        <v>86</v>
      </c>
      <c r="C278" s="6" t="s">
        <v>33</v>
      </c>
      <c r="D278" s="6" t="s">
        <v>12</v>
      </c>
      <c r="E278" s="6" t="s">
        <v>13</v>
      </c>
      <c r="F278" s="7">
        <v>3</v>
      </c>
      <c r="G278" s="7">
        <v>75</v>
      </c>
      <c r="H278" s="7">
        <v>225</v>
      </c>
      <c r="I278" s="7">
        <v>49.11</v>
      </c>
    </row>
    <row r="279" spans="1:9" ht="20" customHeight="1" x14ac:dyDescent="0.15">
      <c r="A279" s="51">
        <v>1277</v>
      </c>
      <c r="B279" s="5" t="s">
        <v>217</v>
      </c>
      <c r="C279" s="6" t="s">
        <v>17</v>
      </c>
      <c r="D279" s="6" t="s">
        <v>12</v>
      </c>
      <c r="E279" s="6" t="s">
        <v>38</v>
      </c>
      <c r="F279" s="7">
        <v>6</v>
      </c>
      <c r="G279" s="7">
        <v>40</v>
      </c>
      <c r="H279" s="7">
        <v>240</v>
      </c>
      <c r="I279" s="7">
        <v>45.1</v>
      </c>
    </row>
    <row r="280" spans="1:9" ht="20" customHeight="1" x14ac:dyDescent="0.15">
      <c r="A280" s="51">
        <v>1278</v>
      </c>
      <c r="B280" s="5" t="s">
        <v>211</v>
      </c>
      <c r="C280" s="6" t="s">
        <v>17</v>
      </c>
      <c r="D280" s="6" t="s">
        <v>12</v>
      </c>
      <c r="E280" s="6" t="s">
        <v>34</v>
      </c>
      <c r="F280" s="7">
        <v>5</v>
      </c>
      <c r="G280" s="7">
        <v>900</v>
      </c>
      <c r="H280" s="7">
        <v>4500</v>
      </c>
      <c r="I280" s="7">
        <v>484.56</v>
      </c>
    </row>
    <row r="281" spans="1:9" ht="20" customHeight="1" x14ac:dyDescent="0.15">
      <c r="A281" s="51">
        <v>1279</v>
      </c>
      <c r="B281" s="5" t="s">
        <v>68</v>
      </c>
      <c r="C281" s="6" t="s">
        <v>15</v>
      </c>
      <c r="D281" s="6" t="s">
        <v>12</v>
      </c>
      <c r="E281" s="6" t="s">
        <v>34</v>
      </c>
      <c r="F281" s="7">
        <v>4</v>
      </c>
      <c r="G281" s="7">
        <v>120</v>
      </c>
      <c r="H281" s="7">
        <v>480</v>
      </c>
      <c r="I281" s="7">
        <v>135.05000000000001</v>
      </c>
    </row>
    <row r="282" spans="1:9" ht="20" customHeight="1" x14ac:dyDescent="0.15">
      <c r="A282" s="51">
        <v>1280</v>
      </c>
      <c r="B282" s="5" t="s">
        <v>93</v>
      </c>
      <c r="C282" s="6" t="s">
        <v>17</v>
      </c>
      <c r="D282" s="6" t="s">
        <v>12</v>
      </c>
      <c r="E282" s="6" t="s">
        <v>38</v>
      </c>
      <c r="F282" s="7">
        <v>6</v>
      </c>
      <c r="G282" s="7">
        <v>900</v>
      </c>
      <c r="H282" s="7">
        <v>5400</v>
      </c>
      <c r="I282" s="7">
        <v>835.06</v>
      </c>
    </row>
    <row r="283" spans="1:9" ht="20" customHeight="1" x14ac:dyDescent="0.15">
      <c r="A283" s="51">
        <v>1281</v>
      </c>
      <c r="B283" s="5" t="s">
        <v>135</v>
      </c>
      <c r="C283" s="6" t="s">
        <v>17</v>
      </c>
      <c r="D283" s="6" t="s">
        <v>19</v>
      </c>
      <c r="E283" s="6" t="s">
        <v>24</v>
      </c>
      <c r="F283" s="7">
        <v>7</v>
      </c>
      <c r="G283" s="7">
        <v>250</v>
      </c>
      <c r="H283" s="7">
        <v>1750</v>
      </c>
      <c r="I283" s="7">
        <v>588.66999999999996</v>
      </c>
    </row>
    <row r="284" spans="1:9" ht="20" customHeight="1" x14ac:dyDescent="0.15">
      <c r="A284" s="51">
        <v>1282</v>
      </c>
      <c r="B284" s="5" t="s">
        <v>89</v>
      </c>
      <c r="C284" s="6" t="s">
        <v>17</v>
      </c>
      <c r="D284" s="6" t="s">
        <v>19</v>
      </c>
      <c r="E284" s="6" t="s">
        <v>72</v>
      </c>
      <c r="F284" s="7">
        <v>2</v>
      </c>
      <c r="G284" s="7">
        <v>250</v>
      </c>
      <c r="H284" s="7">
        <v>500</v>
      </c>
      <c r="I284" s="7">
        <v>163.6</v>
      </c>
    </row>
    <row r="285" spans="1:9" ht="20" customHeight="1" x14ac:dyDescent="0.15">
      <c r="A285" s="51">
        <v>1283</v>
      </c>
      <c r="B285" s="5" t="s">
        <v>31</v>
      </c>
      <c r="C285" s="6" t="s">
        <v>17</v>
      </c>
      <c r="D285" s="6" t="s">
        <v>12</v>
      </c>
      <c r="E285" s="6" t="s">
        <v>38</v>
      </c>
      <c r="F285" s="7">
        <v>4</v>
      </c>
      <c r="G285" s="7">
        <v>75</v>
      </c>
      <c r="H285" s="7">
        <v>300</v>
      </c>
      <c r="I285" s="7">
        <v>89.52</v>
      </c>
    </row>
    <row r="286" spans="1:9" ht="20" customHeight="1" x14ac:dyDescent="0.15">
      <c r="A286" s="51">
        <v>1284</v>
      </c>
      <c r="B286" s="5" t="s">
        <v>218</v>
      </c>
      <c r="C286" s="6" t="s">
        <v>15</v>
      </c>
      <c r="D286" s="6" t="s">
        <v>19</v>
      </c>
      <c r="E286" s="6" t="s">
        <v>22</v>
      </c>
      <c r="F286" s="7">
        <v>4</v>
      </c>
      <c r="G286" s="7">
        <v>75</v>
      </c>
      <c r="H286" s="7">
        <v>300</v>
      </c>
      <c r="I286" s="7">
        <v>19.57</v>
      </c>
    </row>
    <row r="287" spans="1:9" ht="20" customHeight="1" x14ac:dyDescent="0.15">
      <c r="A287" s="51">
        <v>1285</v>
      </c>
      <c r="B287" s="5" t="s">
        <v>155</v>
      </c>
      <c r="C287" s="6" t="s">
        <v>11</v>
      </c>
      <c r="D287" s="6" t="s">
        <v>12</v>
      </c>
      <c r="E287" s="6" t="s">
        <v>26</v>
      </c>
      <c r="F287" s="7">
        <v>1</v>
      </c>
      <c r="G287" s="7">
        <v>25</v>
      </c>
      <c r="H287" s="7">
        <v>25</v>
      </c>
      <c r="I287" s="7">
        <v>4.3499999999999996</v>
      </c>
    </row>
    <row r="288" spans="1:9" ht="20" customHeight="1" x14ac:dyDescent="0.15">
      <c r="A288" s="51">
        <v>1286</v>
      </c>
      <c r="B288" s="5" t="s">
        <v>92</v>
      </c>
      <c r="C288" s="6" t="s">
        <v>33</v>
      </c>
      <c r="D288" s="6" t="s">
        <v>12</v>
      </c>
      <c r="E288" s="6" t="s">
        <v>26</v>
      </c>
      <c r="F288" s="7">
        <v>1</v>
      </c>
      <c r="G288" s="7">
        <v>40</v>
      </c>
      <c r="H288" s="7">
        <v>40</v>
      </c>
      <c r="I288" s="7">
        <v>6.88</v>
      </c>
    </row>
    <row r="289" spans="1:9" ht="20" customHeight="1" x14ac:dyDescent="0.15">
      <c r="A289" s="51">
        <v>1287</v>
      </c>
      <c r="B289" s="5" t="s">
        <v>58</v>
      </c>
      <c r="C289" s="6" t="s">
        <v>11</v>
      </c>
      <c r="D289" s="6" t="s">
        <v>12</v>
      </c>
      <c r="E289" s="6" t="s">
        <v>26</v>
      </c>
      <c r="F289" s="7">
        <v>5</v>
      </c>
      <c r="G289" s="7">
        <v>250</v>
      </c>
      <c r="H289" s="7">
        <v>1250</v>
      </c>
      <c r="I289" s="7">
        <v>169.53</v>
      </c>
    </row>
    <row r="290" spans="1:9" ht="20" customHeight="1" x14ac:dyDescent="0.15">
      <c r="A290" s="51">
        <v>1288</v>
      </c>
      <c r="B290" s="5" t="s">
        <v>77</v>
      </c>
      <c r="C290" s="6" t="s">
        <v>11</v>
      </c>
      <c r="D290" s="6" t="s">
        <v>12</v>
      </c>
      <c r="E290" s="6" t="s">
        <v>26</v>
      </c>
      <c r="F290" s="7">
        <v>1</v>
      </c>
      <c r="G290" s="7">
        <v>40</v>
      </c>
      <c r="H290" s="7">
        <v>40</v>
      </c>
      <c r="I290" s="7">
        <v>7.01</v>
      </c>
    </row>
    <row r="291" spans="1:9" ht="20" customHeight="1" x14ac:dyDescent="0.15">
      <c r="A291" s="51">
        <v>1289</v>
      </c>
      <c r="B291" s="5" t="s">
        <v>219</v>
      </c>
      <c r="C291" s="6" t="s">
        <v>17</v>
      </c>
      <c r="D291" s="6" t="s">
        <v>29</v>
      </c>
      <c r="E291" s="6" t="s">
        <v>44</v>
      </c>
      <c r="F291" s="7">
        <v>3</v>
      </c>
      <c r="G291" s="7">
        <v>120</v>
      </c>
      <c r="H291" s="7">
        <v>360</v>
      </c>
      <c r="I291" s="7">
        <v>112.69</v>
      </c>
    </row>
    <row r="292" spans="1:9" ht="20" customHeight="1" x14ac:dyDescent="0.15">
      <c r="A292" s="51">
        <v>1290</v>
      </c>
      <c r="B292" s="5" t="s">
        <v>220</v>
      </c>
      <c r="C292" s="6" t="s">
        <v>33</v>
      </c>
      <c r="D292" s="6" t="s">
        <v>12</v>
      </c>
      <c r="E292" s="6" t="s">
        <v>13</v>
      </c>
      <c r="F292" s="7">
        <v>6</v>
      </c>
      <c r="G292" s="7">
        <v>120</v>
      </c>
      <c r="H292" s="7">
        <v>720</v>
      </c>
      <c r="I292" s="7">
        <v>134.13999999999999</v>
      </c>
    </row>
    <row r="293" spans="1:9" ht="20" customHeight="1" x14ac:dyDescent="0.15">
      <c r="A293" s="51">
        <v>1291</v>
      </c>
      <c r="B293" s="5" t="s">
        <v>221</v>
      </c>
      <c r="C293" s="6" t="s">
        <v>15</v>
      </c>
      <c r="D293" s="6" t="s">
        <v>19</v>
      </c>
      <c r="E293" s="6" t="s">
        <v>24</v>
      </c>
      <c r="F293" s="7">
        <v>5</v>
      </c>
      <c r="G293" s="7">
        <v>75</v>
      </c>
      <c r="H293" s="7">
        <v>375</v>
      </c>
      <c r="I293" s="7">
        <v>109.74</v>
      </c>
    </row>
    <row r="294" spans="1:9" ht="20" customHeight="1" x14ac:dyDescent="0.15">
      <c r="A294" s="51">
        <v>1292</v>
      </c>
      <c r="B294" s="5" t="s">
        <v>222</v>
      </c>
      <c r="C294" s="6" t="s">
        <v>17</v>
      </c>
      <c r="D294" s="6" t="s">
        <v>12</v>
      </c>
      <c r="E294" s="6" t="s">
        <v>38</v>
      </c>
      <c r="F294" s="7">
        <v>5</v>
      </c>
      <c r="G294" s="7">
        <v>40</v>
      </c>
      <c r="H294" s="7">
        <v>200</v>
      </c>
      <c r="I294" s="7">
        <v>10.85</v>
      </c>
    </row>
    <row r="295" spans="1:9" ht="20" customHeight="1" x14ac:dyDescent="0.15">
      <c r="A295" s="51">
        <v>1293</v>
      </c>
      <c r="B295" s="5" t="s">
        <v>223</v>
      </c>
      <c r="C295" s="6" t="s">
        <v>17</v>
      </c>
      <c r="D295" s="6" t="s">
        <v>12</v>
      </c>
      <c r="E295" s="6" t="s">
        <v>26</v>
      </c>
      <c r="F295" s="7">
        <v>3</v>
      </c>
      <c r="G295" s="7">
        <v>500</v>
      </c>
      <c r="H295" s="7">
        <v>1500</v>
      </c>
      <c r="I295" s="7">
        <v>447.15</v>
      </c>
    </row>
    <row r="296" spans="1:9" ht="20" customHeight="1" x14ac:dyDescent="0.15">
      <c r="A296" s="51">
        <v>1294</v>
      </c>
      <c r="B296" s="5" t="s">
        <v>224</v>
      </c>
      <c r="C296" s="6" t="s">
        <v>17</v>
      </c>
      <c r="D296" s="6" t="s">
        <v>19</v>
      </c>
      <c r="E296" s="6" t="s">
        <v>24</v>
      </c>
      <c r="F296" s="7">
        <v>2</v>
      </c>
      <c r="G296" s="7">
        <v>40</v>
      </c>
      <c r="H296" s="7">
        <v>80</v>
      </c>
      <c r="I296" s="7">
        <v>27.56</v>
      </c>
    </row>
    <row r="297" spans="1:9" ht="20" customHeight="1" x14ac:dyDescent="0.15">
      <c r="A297" s="51">
        <v>1295</v>
      </c>
      <c r="B297" s="5" t="s">
        <v>225</v>
      </c>
      <c r="C297" s="6" t="s">
        <v>17</v>
      </c>
      <c r="D297" s="6" t="s">
        <v>19</v>
      </c>
      <c r="E297" s="6" t="s">
        <v>22</v>
      </c>
      <c r="F297" s="7">
        <v>5</v>
      </c>
      <c r="G297" s="7">
        <v>500</v>
      </c>
      <c r="H297" s="7">
        <v>2500</v>
      </c>
      <c r="I297" s="7">
        <v>301.64</v>
      </c>
    </row>
    <row r="298" spans="1:9" ht="20" customHeight="1" x14ac:dyDescent="0.15">
      <c r="A298" s="51">
        <v>1296</v>
      </c>
      <c r="B298" s="5" t="s">
        <v>181</v>
      </c>
      <c r="C298" s="6" t="s">
        <v>11</v>
      </c>
      <c r="D298" s="6" t="s">
        <v>29</v>
      </c>
      <c r="E298" s="6" t="s">
        <v>36</v>
      </c>
      <c r="F298" s="7">
        <v>5</v>
      </c>
      <c r="G298" s="7">
        <v>250</v>
      </c>
      <c r="H298" s="7">
        <v>1250</v>
      </c>
      <c r="I298" s="7">
        <v>322.29000000000002</v>
      </c>
    </row>
    <row r="299" spans="1:9" ht="20" customHeight="1" x14ac:dyDescent="0.15">
      <c r="A299" s="51">
        <v>1297</v>
      </c>
      <c r="B299" s="5" t="s">
        <v>68</v>
      </c>
      <c r="C299" s="6" t="s">
        <v>17</v>
      </c>
      <c r="D299" s="6" t="s">
        <v>29</v>
      </c>
      <c r="E299" s="6" t="s">
        <v>30</v>
      </c>
      <c r="F299" s="7">
        <v>3</v>
      </c>
      <c r="G299" s="7">
        <v>500</v>
      </c>
      <c r="H299" s="7">
        <v>1500</v>
      </c>
      <c r="I299" s="7">
        <v>383.73</v>
      </c>
    </row>
    <row r="300" spans="1:9" ht="20" customHeight="1" x14ac:dyDescent="0.15">
      <c r="A300" s="51">
        <v>1298</v>
      </c>
      <c r="B300" s="5" t="s">
        <v>226</v>
      </c>
      <c r="C300" s="6" t="s">
        <v>15</v>
      </c>
      <c r="D300" s="6" t="s">
        <v>12</v>
      </c>
      <c r="E300" s="6" t="s">
        <v>13</v>
      </c>
      <c r="F300" s="7">
        <v>5</v>
      </c>
      <c r="G300" s="7">
        <v>250</v>
      </c>
      <c r="H300" s="7">
        <v>1250</v>
      </c>
      <c r="I300" s="7">
        <v>292.98</v>
      </c>
    </row>
    <row r="301" spans="1:9" ht="20" customHeight="1" x14ac:dyDescent="0.15">
      <c r="A301" s="51">
        <v>1299</v>
      </c>
      <c r="B301" s="5" t="s">
        <v>130</v>
      </c>
      <c r="C301" s="6" t="s">
        <v>33</v>
      </c>
      <c r="D301" s="6" t="s">
        <v>29</v>
      </c>
      <c r="E301" s="6" t="s">
        <v>65</v>
      </c>
      <c r="F301" s="7">
        <v>8</v>
      </c>
      <c r="G301" s="7">
        <v>250</v>
      </c>
      <c r="H301" s="7">
        <v>2000</v>
      </c>
      <c r="I301" s="7">
        <v>349.51</v>
      </c>
    </row>
    <row r="302" spans="1:9" ht="20" customHeight="1" x14ac:dyDescent="0.15">
      <c r="A302" s="51">
        <v>1300</v>
      </c>
      <c r="B302" s="5" t="s">
        <v>227</v>
      </c>
      <c r="C302" s="6" t="s">
        <v>17</v>
      </c>
      <c r="D302" s="6" t="s">
        <v>12</v>
      </c>
      <c r="E302" s="6" t="s">
        <v>26</v>
      </c>
      <c r="F302" s="7">
        <v>4</v>
      </c>
      <c r="G302" s="7">
        <v>25</v>
      </c>
      <c r="H302" s="7">
        <v>100</v>
      </c>
      <c r="I302" s="7">
        <v>20.77</v>
      </c>
    </row>
  </sheetData>
  <mergeCells count="1">
    <mergeCell ref="A1:I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1F32-2A20-B64D-9149-192DAECD538F}">
  <dimension ref="A1:N41"/>
  <sheetViews>
    <sheetView showGridLines="0" tabSelected="1" topLeftCell="A4" workbookViewId="0">
      <selection activeCell="D34" sqref="D34:J36"/>
    </sheetView>
  </sheetViews>
  <sheetFormatPr baseColWidth="10" defaultRowHeight="13" x14ac:dyDescent="0.15"/>
  <cols>
    <col min="1" max="14" width="15.83203125" customWidth="1"/>
  </cols>
  <sheetData>
    <row r="1" spans="1:14" ht="30" customHeight="1" thickBot="1" x14ac:dyDescent="0.2">
      <c r="A1" s="16" t="s">
        <v>232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30" customHeight="1" x14ac:dyDescent="0.15">
      <c r="B2" s="17"/>
      <c r="C2" s="18"/>
      <c r="E2" s="17"/>
      <c r="F2" s="18"/>
      <c r="H2" s="17"/>
      <c r="I2" s="18"/>
      <c r="K2" s="17"/>
      <c r="L2" s="18"/>
    </row>
    <row r="3" spans="1:14" ht="30" customHeight="1" x14ac:dyDescent="0.15">
      <c r="B3" s="27" t="s">
        <v>233</v>
      </c>
      <c r="C3" s="19"/>
      <c r="E3" s="27" t="s">
        <v>234</v>
      </c>
      <c r="F3" s="19"/>
      <c r="H3" s="28" t="s">
        <v>235</v>
      </c>
      <c r="I3" s="29"/>
      <c r="K3" s="28" t="s">
        <v>236</v>
      </c>
      <c r="L3" s="29"/>
    </row>
    <row r="4" spans="1:14" ht="30" customHeight="1" x14ac:dyDescent="0.15">
      <c r="B4" s="32">
        <f>GETPIVOTDATA("Sum of Sales",'03_KPI_Summary'!$A$2)</f>
        <v>295869</v>
      </c>
      <c r="C4" s="33"/>
      <c r="E4" s="32">
        <f>GETPIVOTDATA("Sum of Profit",'03_KPI_Summary'!$A$2)</f>
        <v>62543.400000000009</v>
      </c>
      <c r="F4" s="33"/>
      <c r="H4" s="23" t="str">
        <f>'04_Category_Analysis'!A3</f>
        <v>Office Supplies</v>
      </c>
      <c r="I4" s="24"/>
      <c r="K4" s="23" t="str">
        <f>'05_Product_Analysis'!A3</f>
        <v>Pen</v>
      </c>
      <c r="L4" s="24"/>
    </row>
    <row r="5" spans="1:14" ht="30" customHeight="1" thickBot="1" x14ac:dyDescent="0.2">
      <c r="B5" s="34"/>
      <c r="C5" s="35"/>
      <c r="E5" s="34"/>
      <c r="F5" s="35"/>
      <c r="H5" s="25"/>
      <c r="I5" s="26"/>
      <c r="K5" s="25"/>
      <c r="L5" s="26"/>
    </row>
    <row r="27" spans="4:10" ht="14" thickBot="1" x14ac:dyDescent="0.2"/>
    <row r="28" spans="4:10" x14ac:dyDescent="0.15">
      <c r="D28" s="17"/>
      <c r="E28" s="36"/>
      <c r="F28" s="36"/>
      <c r="G28" s="36"/>
      <c r="H28" s="36"/>
      <c r="I28" s="36"/>
      <c r="J28" s="18"/>
    </row>
    <row r="29" spans="4:10" x14ac:dyDescent="0.15">
      <c r="D29" s="20"/>
      <c r="E29" s="37"/>
      <c r="F29" s="37"/>
      <c r="G29" s="37"/>
      <c r="H29" s="37"/>
      <c r="I29" s="37"/>
      <c r="J29" s="19"/>
    </row>
    <row r="30" spans="4:10" x14ac:dyDescent="0.15">
      <c r="D30" s="39" t="s">
        <v>237</v>
      </c>
      <c r="E30" s="40"/>
      <c r="F30" s="40"/>
      <c r="G30" s="40"/>
      <c r="H30" s="40"/>
      <c r="I30" s="40"/>
      <c r="J30" s="19"/>
    </row>
    <row r="31" spans="4:10" x14ac:dyDescent="0.15">
      <c r="D31" s="39"/>
      <c r="E31" s="40"/>
      <c r="F31" s="40"/>
      <c r="G31" s="40"/>
      <c r="H31" s="40"/>
      <c r="I31" s="40"/>
      <c r="J31" s="19"/>
    </row>
    <row r="32" spans="4:10" ht="13" customHeight="1" x14ac:dyDescent="0.15">
      <c r="D32" s="41" t="s">
        <v>238</v>
      </c>
      <c r="E32" s="42"/>
      <c r="F32" s="42"/>
      <c r="G32" s="42"/>
      <c r="H32" s="42"/>
      <c r="I32" s="42"/>
      <c r="J32" s="43"/>
    </row>
    <row r="33" spans="4:10" x14ac:dyDescent="0.15">
      <c r="D33" s="41"/>
      <c r="E33" s="42"/>
      <c r="F33" s="42"/>
      <c r="G33" s="42"/>
      <c r="H33" s="42"/>
      <c r="I33" s="42"/>
      <c r="J33" s="43"/>
    </row>
    <row r="34" spans="4:10" x14ac:dyDescent="0.15">
      <c r="D34" s="41" t="s">
        <v>239</v>
      </c>
      <c r="E34" s="42"/>
      <c r="F34" s="42"/>
      <c r="G34" s="42"/>
      <c r="H34" s="42"/>
      <c r="I34" s="42"/>
      <c r="J34" s="43"/>
    </row>
    <row r="35" spans="4:10" x14ac:dyDescent="0.15">
      <c r="D35" s="41"/>
      <c r="E35" s="42"/>
      <c r="F35" s="42"/>
      <c r="G35" s="42"/>
      <c r="H35" s="42"/>
      <c r="I35" s="42"/>
      <c r="J35" s="43"/>
    </row>
    <row r="36" spans="4:10" x14ac:dyDescent="0.15">
      <c r="D36" s="41"/>
      <c r="E36" s="42"/>
      <c r="F36" s="42"/>
      <c r="G36" s="42"/>
      <c r="H36" s="42"/>
      <c r="I36" s="42"/>
      <c r="J36" s="43"/>
    </row>
    <row r="37" spans="4:10" x14ac:dyDescent="0.15">
      <c r="D37" s="44" t="s">
        <v>240</v>
      </c>
      <c r="E37" s="45"/>
      <c r="F37" s="45"/>
      <c r="G37" s="45"/>
      <c r="H37" s="45"/>
      <c r="I37" s="45"/>
      <c r="J37" s="46"/>
    </row>
    <row r="38" spans="4:10" x14ac:dyDescent="0.15">
      <c r="D38" s="44"/>
      <c r="E38" s="45"/>
      <c r="F38" s="45"/>
      <c r="G38" s="45"/>
      <c r="H38" s="45"/>
      <c r="I38" s="45"/>
      <c r="J38" s="46"/>
    </row>
    <row r="39" spans="4:10" x14ac:dyDescent="0.15">
      <c r="D39" s="20"/>
      <c r="E39" s="37"/>
      <c r="F39" s="37"/>
      <c r="G39" s="37"/>
      <c r="H39" s="37"/>
      <c r="I39" s="37"/>
      <c r="J39" s="19"/>
    </row>
    <row r="40" spans="4:10" x14ac:dyDescent="0.15">
      <c r="D40" s="20"/>
      <c r="E40" s="37"/>
      <c r="F40" s="37"/>
      <c r="G40" s="37"/>
      <c r="H40" s="37"/>
      <c r="I40" s="37"/>
      <c r="J40" s="19"/>
    </row>
    <row r="41" spans="4:10" ht="14" thickBot="1" x14ac:dyDescent="0.2">
      <c r="D41" s="21"/>
      <c r="E41" s="38"/>
      <c r="F41" s="38"/>
      <c r="G41" s="38"/>
      <c r="H41" s="38"/>
      <c r="I41" s="38"/>
      <c r="J41" s="22"/>
    </row>
  </sheetData>
  <mergeCells count="11">
    <mergeCell ref="D34:J36"/>
    <mergeCell ref="D37:J38"/>
    <mergeCell ref="D30:I31"/>
    <mergeCell ref="D32:J33"/>
    <mergeCell ref="A1:N1"/>
    <mergeCell ref="H4:I5"/>
    <mergeCell ref="K4:L5"/>
    <mergeCell ref="E4:F5"/>
    <mergeCell ref="B4:C5"/>
    <mergeCell ref="H3:I3"/>
    <mergeCell ref="K3:L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F2AA-07E9-FF4E-846F-EA8D01D6FBE9}">
  <dimension ref="A2:B3"/>
  <sheetViews>
    <sheetView showGridLines="0" workbookViewId="0">
      <selection activeCell="A2" sqref="A2"/>
    </sheetView>
  </sheetViews>
  <sheetFormatPr baseColWidth="10" defaultRowHeight="13" x14ac:dyDescent="0.15"/>
  <cols>
    <col min="1" max="1" width="12.1640625" bestFit="1" customWidth="1"/>
    <col min="2" max="2" width="11.1640625" bestFit="1" customWidth="1"/>
    <col min="3" max="4" width="9.6640625" bestFit="1" customWidth="1"/>
    <col min="5" max="5" width="5.83203125" bestFit="1" customWidth="1"/>
    <col min="6" max="8" width="7.6640625" bestFit="1" customWidth="1"/>
    <col min="9" max="9" width="8.6640625" bestFit="1" customWidth="1"/>
    <col min="10" max="10" width="7.83203125" bestFit="1" customWidth="1"/>
    <col min="11" max="11" width="8.6640625" bestFit="1" customWidth="1"/>
    <col min="12" max="12" width="8.1640625" bestFit="1" customWidth="1"/>
    <col min="13" max="13" width="8.6640625" bestFit="1" customWidth="1"/>
    <col min="14" max="14" width="7.83203125" bestFit="1" customWidth="1"/>
    <col min="15" max="15" width="6.6640625" bestFit="1" customWidth="1"/>
    <col min="16" max="17" width="7.6640625" bestFit="1" customWidth="1"/>
    <col min="18" max="18" width="8.6640625" bestFit="1" customWidth="1"/>
    <col min="19" max="19" width="6.6640625" bestFit="1" customWidth="1"/>
    <col min="20" max="20" width="8.6640625" bestFit="1" customWidth="1"/>
    <col min="21" max="21" width="7.6640625" bestFit="1" customWidth="1"/>
    <col min="22" max="22" width="8.33203125" bestFit="1" customWidth="1"/>
    <col min="23" max="23" width="6.6640625" bestFit="1" customWidth="1"/>
    <col min="24" max="24" width="8.5" bestFit="1" customWidth="1"/>
    <col min="25" max="25" width="7.6640625" bestFit="1" customWidth="1"/>
    <col min="26" max="26" width="10.5" bestFit="1" customWidth="1"/>
    <col min="27" max="27" width="8.6640625" bestFit="1" customWidth="1"/>
    <col min="28" max="28" width="8.33203125" bestFit="1" customWidth="1"/>
    <col min="29" max="30" width="6.6640625" bestFit="1" customWidth="1"/>
    <col min="31" max="31" width="6.83203125" bestFit="1" customWidth="1"/>
    <col min="32" max="33" width="6.6640625" bestFit="1" customWidth="1"/>
    <col min="34" max="34" width="7.6640625" bestFit="1" customWidth="1"/>
    <col min="35" max="35" width="8.5" bestFit="1" customWidth="1"/>
    <col min="36" max="36" width="10.5" bestFit="1" customWidth="1"/>
    <col min="37" max="37" width="8.6640625" bestFit="1" customWidth="1"/>
    <col min="38" max="39" width="7.6640625" bestFit="1" customWidth="1"/>
    <col min="40" max="40" width="9.83203125" bestFit="1" customWidth="1"/>
    <col min="41" max="41" width="10.5" bestFit="1" customWidth="1"/>
    <col min="42" max="42" width="6.6640625" bestFit="1" customWidth="1"/>
    <col min="43" max="43" width="8.5" bestFit="1" customWidth="1"/>
    <col min="44" max="46" width="6.6640625" bestFit="1" customWidth="1"/>
    <col min="47" max="47" width="8.33203125" bestFit="1" customWidth="1"/>
    <col min="48" max="48" width="8.6640625" bestFit="1" customWidth="1"/>
    <col min="49" max="49" width="7.6640625" bestFit="1" customWidth="1"/>
    <col min="50" max="50" width="7" bestFit="1" customWidth="1"/>
    <col min="51" max="52" width="7.6640625" bestFit="1" customWidth="1"/>
    <col min="53" max="53" width="9" bestFit="1" customWidth="1"/>
    <col min="54" max="54" width="10" bestFit="1" customWidth="1"/>
  </cols>
  <sheetData>
    <row r="2" spans="1:2" ht="28" x14ac:dyDescent="0.15">
      <c r="A2" s="47" t="s">
        <v>230</v>
      </c>
      <c r="B2" s="48" t="s">
        <v>231</v>
      </c>
    </row>
    <row r="3" spans="1:2" x14ac:dyDescent="0.15">
      <c r="A3" s="30">
        <v>295869</v>
      </c>
      <c r="B3" s="31">
        <v>62543.400000000009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DDB6-A78E-3344-8836-3D7F9FFA29FC}">
  <dimension ref="A2:B6"/>
  <sheetViews>
    <sheetView showGridLines="0" workbookViewId="0">
      <selection activeCell="D14" sqref="D14"/>
    </sheetView>
  </sheetViews>
  <sheetFormatPr baseColWidth="10" defaultRowHeight="13" x14ac:dyDescent="0.15"/>
  <cols>
    <col min="1" max="1" width="12.5" bestFit="1" customWidth="1"/>
    <col min="2" max="2" width="8.6640625" bestFit="1" customWidth="1"/>
  </cols>
  <sheetData>
    <row r="2" spans="1:2" ht="28" x14ac:dyDescent="0.15">
      <c r="A2" s="47" t="s">
        <v>228</v>
      </c>
      <c r="B2" s="52" t="s">
        <v>231</v>
      </c>
    </row>
    <row r="3" spans="1:2" ht="14" x14ac:dyDescent="0.15">
      <c r="A3" s="9" t="s">
        <v>12</v>
      </c>
      <c r="B3" s="10">
        <v>26269.529999999992</v>
      </c>
    </row>
    <row r="4" spans="1:2" ht="14" x14ac:dyDescent="0.15">
      <c r="A4" s="11" t="s">
        <v>29</v>
      </c>
      <c r="B4" s="12">
        <v>22144.26999999999</v>
      </c>
    </row>
    <row r="5" spans="1:2" ht="14" x14ac:dyDescent="0.15">
      <c r="A5" s="11" t="s">
        <v>19</v>
      </c>
      <c r="B5" s="12">
        <v>14129.600000000004</v>
      </c>
    </row>
    <row r="6" spans="1:2" ht="14" x14ac:dyDescent="0.15">
      <c r="A6" s="13" t="s">
        <v>229</v>
      </c>
      <c r="B6" s="14">
        <v>62543.399999999987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8A69-E72F-3E4E-86B4-C0D93288D1FC}">
  <dimension ref="A2:B15"/>
  <sheetViews>
    <sheetView showGridLines="0" workbookViewId="0"/>
  </sheetViews>
  <sheetFormatPr baseColWidth="10" defaultRowHeight="13" x14ac:dyDescent="0.15"/>
  <cols>
    <col min="1" max="1" width="12.5" bestFit="1" customWidth="1"/>
    <col min="2" max="2" width="8.6640625" bestFit="1" customWidth="1"/>
  </cols>
  <sheetData>
    <row r="2" spans="1:2" ht="28" x14ac:dyDescent="0.15">
      <c r="A2" s="47" t="s">
        <v>228</v>
      </c>
      <c r="B2" s="52" t="s">
        <v>231</v>
      </c>
    </row>
    <row r="3" spans="1:2" ht="14" x14ac:dyDescent="0.15">
      <c r="A3" s="9" t="s">
        <v>26</v>
      </c>
      <c r="B3" s="10">
        <v>10294.019999999999</v>
      </c>
    </row>
    <row r="4" spans="1:2" ht="14" x14ac:dyDescent="0.15">
      <c r="A4" s="11" t="s">
        <v>38</v>
      </c>
      <c r="B4" s="12">
        <v>7395.9400000000023</v>
      </c>
    </row>
    <row r="5" spans="1:2" ht="14" x14ac:dyDescent="0.15">
      <c r="A5" s="11" t="s">
        <v>13</v>
      </c>
      <c r="B5" s="12">
        <v>7391.0399999999991</v>
      </c>
    </row>
    <row r="6" spans="1:2" ht="14" x14ac:dyDescent="0.15">
      <c r="A6" s="11" t="s">
        <v>44</v>
      </c>
      <c r="B6" s="12">
        <v>7024.2000000000007</v>
      </c>
    </row>
    <row r="7" spans="1:2" ht="14" x14ac:dyDescent="0.15">
      <c r="A7" s="11" t="s">
        <v>65</v>
      </c>
      <c r="B7" s="12">
        <v>5507.9000000000005</v>
      </c>
    </row>
    <row r="8" spans="1:2" ht="14" x14ac:dyDescent="0.15">
      <c r="A8" s="11" t="s">
        <v>72</v>
      </c>
      <c r="B8" s="12">
        <v>4913.5600000000004</v>
      </c>
    </row>
    <row r="9" spans="1:2" ht="14" x14ac:dyDescent="0.15">
      <c r="A9" s="11" t="s">
        <v>30</v>
      </c>
      <c r="B9" s="12">
        <v>4877.3899999999994</v>
      </c>
    </row>
    <row r="10" spans="1:2" ht="14" x14ac:dyDescent="0.15">
      <c r="A10" s="11" t="s">
        <v>36</v>
      </c>
      <c r="B10" s="12">
        <v>4734.78</v>
      </c>
    </row>
    <row r="11" spans="1:2" ht="14" x14ac:dyDescent="0.15">
      <c r="A11" s="11" t="s">
        <v>20</v>
      </c>
      <c r="B11" s="12">
        <v>3717.69</v>
      </c>
    </row>
    <row r="12" spans="1:2" ht="14" x14ac:dyDescent="0.15">
      <c r="A12" s="11" t="s">
        <v>24</v>
      </c>
      <c r="B12" s="12">
        <v>2884.35</v>
      </c>
    </row>
    <row r="13" spans="1:2" ht="14" x14ac:dyDescent="0.15">
      <c r="A13" s="11" t="s">
        <v>22</v>
      </c>
      <c r="B13" s="12">
        <v>2614</v>
      </c>
    </row>
    <row r="14" spans="1:2" ht="14" x14ac:dyDescent="0.15">
      <c r="A14" s="11" t="s">
        <v>34</v>
      </c>
      <c r="B14" s="12">
        <v>1188.53</v>
      </c>
    </row>
    <row r="15" spans="1:2" ht="14" x14ac:dyDescent="0.15">
      <c r="A15" s="13" t="s">
        <v>229</v>
      </c>
      <c r="B15" s="14">
        <v>62543.4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A3C2-59A2-6247-9DCF-7E872F4FABC8}">
  <dimension ref="A2:B7"/>
  <sheetViews>
    <sheetView showGridLines="0" workbookViewId="0">
      <selection activeCell="E21" sqref="E21:E22"/>
    </sheetView>
  </sheetViews>
  <sheetFormatPr baseColWidth="10" defaultRowHeight="13" x14ac:dyDescent="0.15"/>
  <cols>
    <col min="1" max="1" width="12.5" bestFit="1" customWidth="1"/>
    <col min="2" max="2" width="8.6640625" bestFit="1" customWidth="1"/>
  </cols>
  <sheetData>
    <row r="2" spans="1:2" ht="28" x14ac:dyDescent="0.15">
      <c r="A2" s="47" t="s">
        <v>228</v>
      </c>
      <c r="B2" s="52" t="s">
        <v>231</v>
      </c>
    </row>
    <row r="3" spans="1:2" ht="14" x14ac:dyDescent="0.15">
      <c r="A3" s="9" t="s">
        <v>33</v>
      </c>
      <c r="B3" s="10">
        <v>15164.480000000001</v>
      </c>
    </row>
    <row r="4" spans="1:2" ht="14" x14ac:dyDescent="0.15">
      <c r="A4" s="11" t="s">
        <v>11</v>
      </c>
      <c r="B4" s="12">
        <v>18290.629999999994</v>
      </c>
    </row>
    <row r="5" spans="1:2" ht="14" x14ac:dyDescent="0.15">
      <c r="A5" s="11" t="s">
        <v>17</v>
      </c>
      <c r="B5" s="12">
        <v>19909.71</v>
      </c>
    </row>
    <row r="6" spans="1:2" ht="14" x14ac:dyDescent="0.15">
      <c r="A6" s="11" t="s">
        <v>15</v>
      </c>
      <c r="B6" s="12">
        <v>9178.58</v>
      </c>
    </row>
    <row r="7" spans="1:2" ht="14" x14ac:dyDescent="0.15">
      <c r="A7" s="13" t="s">
        <v>229</v>
      </c>
      <c r="B7" s="14">
        <v>62543.399999999994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01_Raw_Data</vt:lpstr>
      <vt:lpstr>02_Dashboard</vt:lpstr>
      <vt:lpstr>03_KPI_Summary</vt:lpstr>
      <vt:lpstr>04_Category_Analysis</vt:lpstr>
      <vt:lpstr>05_Product_Analysis</vt:lpstr>
      <vt:lpstr>06_Region_Analysis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Casusol</cp:lastModifiedBy>
  <dcterms:created xsi:type="dcterms:W3CDTF">2026-07-08T16:42:55Z</dcterms:created>
  <dcterms:modified xsi:type="dcterms:W3CDTF">2026-07-08T16:42:55Z</dcterms:modified>
</cp:coreProperties>
</file>